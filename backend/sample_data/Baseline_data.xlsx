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8_{68612239-62BE-4A70-9C12-EC349B8963AD}" xr6:coauthVersionLast="47" xr6:coauthVersionMax="47" xr10:uidLastSave="{00000000-0000-0000-0000-000000000000}"/>
  <bookViews>
    <workbookView xWindow="-108" yWindow="-108" windowWidth="23256" windowHeight="12456" xr2:uid="{48887F46-1420-4623-AE47-D308576000D4}"/>
  </bookViews>
  <sheets>
    <sheet name="Development Data (2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1_out_R_ucl">OFFSET([1]Calculations!$BM$4,0,0,SUM([1]Calculations!$BB$4:$BB$4))</definedName>
    <definedName name="_1_out_X_lcl">OFFSET([1]Calculations!$BL$4,0,0,SUM([1]Calculations!$BB$4:$BB$4))</definedName>
    <definedName name="_1_out_X_ucl">OFFSET([1]Calculations!$BK$4,0,0,SUM([1]Calculations!$BB$4:$BB$4))</definedName>
    <definedName name="_2_of_3_above_R_2_sig">OFFSET([1]Calculations!$FS$4,0,0,SUM([1]Calculations!$BB$4:$BB$4))</definedName>
    <definedName name="_2_of_3_above_X_2_sig">OFFSET([1]Calculations!$FR$4,0,0,SUM([1]Calculations!$BB$4:$BB$4))</definedName>
    <definedName name="_2_of_3_below_R_2_sig">OFFSET([1]Calculations!$FU$4,0,0,SUM([1]Calculations!$BB$4:$BB$4))</definedName>
    <definedName name="_2_of_3_below_X_2_sig">OFFSET([1]Calculations!$FT$4,0,0,SUM([1]Calculations!$BB$4:$BB$4))</definedName>
    <definedName name="_4_of_5_above_R_1_sig">OFFSET([1]Calculations!$FY$4,0,0,SUM([1]Calculations!$BB$4:$BB$4))</definedName>
    <definedName name="_4_of_5_above_X_1_sig">OFFSET([1]Calculations!$FW$4,0,0,SUM([1]Calculations!$BB$4:$BB$4))</definedName>
    <definedName name="_4_of_5_below_R_1_sig">OFFSET([1]Calculations!$FZ$4,0,0,SUM([1]Calculations!$BB$4:$BB$4))</definedName>
    <definedName name="_4_of_5_below_X_1_sig">OFFSET([1]Calculations!$FX$4,0,0,SUM([1]Calculations!$BB$4:$BB$4))</definedName>
    <definedName name="_8_above_avg_R">OFFSET([1]Calculations!$FO$4,0,0,SUM([1]Calculations!$BB$4:$BB$4))</definedName>
    <definedName name="_8_above_avg_X">OFFSET([1]Calculations!$FM$4,0,0,SUM([1]Calculations!$BB$4:$BB$4))</definedName>
    <definedName name="_8_below_avg_R">OFFSET([1]Calculations!$FP$4,0,0,SUM([1]Calculations!$BB$4:$BB$4))</definedName>
    <definedName name="_8_below_avg_X">OFFSET([1]Calculations!$FN$4,0,0,SUM([1]Calculations!$BB$4:$BB$4))</definedName>
    <definedName name="A">#REF!</definedName>
    <definedName name="ApplicationAreas">[3]Configurations!$C$1:$C$4</definedName>
    <definedName name="Area">#REF!</definedName>
    <definedName name="BugFixFactor">#REF!</definedName>
    <definedName name="centerline">OFFSET([1]Calculations!$EY$4,0,0,SUM([1]Calculations!$BB$4:$BB$4))</definedName>
    <definedName name="centerliner">OFFSET([1]Calculations!$FB$4,0,0,SUM([1]Calculations!$BB$4:$BB$4))</definedName>
    <definedName name="clusters">[4]Lists!$A$2:$A$17</definedName>
    <definedName name="clusters2">[4]Lists!$A$2:$A$18</definedName>
    <definedName name="Components">[4]Lists!$F$2:$F$15</definedName>
    <definedName name="comps">[4]Lists!$F$2:$F$22</definedName>
    <definedName name="ConDesignFactor">#REF!</definedName>
    <definedName name="CReviewFactor">#REF!</definedName>
    <definedName name="CRITICALITY">'[5]List Values'!$F$2:$F$4</definedName>
    <definedName name="Data">OFFSET(#REF!,,,COUNTA(#REF!)-13)</definedName>
    <definedName name="DetlDesignFactor">#REF!</definedName>
    <definedName name="Dev_Status">[4]Lists!#REF!</definedName>
    <definedName name="DevFactor">#REF!</definedName>
    <definedName name="DReviewFactor">#REF!</definedName>
    <definedName name="effortareas">[4]Lists!$A$2:$A$22</definedName>
    <definedName name="FAMILIARITY">'[5]List Values'!$D$12:$D$14</definedName>
    <definedName name="fareas">[4]Lists!$A$2:$A$12</definedName>
    <definedName name="IMN_Function_List">[6]Temp!$B$2:$B$587</definedName>
    <definedName name="IMN_Project_Type">[6]Data!$D$3:$D$14</definedName>
    <definedName name="lcl">OFFSET([1]Calculations!$EZ$4,0,0,SUM([1]Calculations!$BB$4:$BB$4))</definedName>
    <definedName name="LSL">OFFSET(#REF!,,,COUNTA(#REF!)-11)</definedName>
    <definedName name="MAX_SLOC">'[5]List Values'!$D$2</definedName>
    <definedName name="MgrAdminFactor">#REF!</definedName>
    <definedName name="MIN_SLOC">'[5]List Values'!$C$2</definedName>
    <definedName name="MOD_LOG">'[5]List Values'!$E$2:$E$6</definedName>
    <definedName name="MODULARITY">'[5]List Values'!$G$2:$G$4</definedName>
    <definedName name="MR">OFFSET([0]!Data,1,1)</definedName>
    <definedName name="MRLCL">OFFSET([0]!USL,0,1)</definedName>
    <definedName name="MRUCL">OFFSET(MRLCL,0,1)</definedName>
    <definedName name="numberpts">OFFSET([1]Calculations!$A$4,0,0,SUM([1]Calculations!$BB$4:$BB$4))</definedName>
    <definedName name="numberptsr">OFFSET([1]Calculations!$B$4,0,0,SUM([1]Calculations!$BB$4:$BB$4))</definedName>
    <definedName name="PhaseList">[3]Configurations!$A$5:$A$12</definedName>
    <definedName name="prc">'[7]Tailoring and Waiver'!$L$4:$L$21</definedName>
    <definedName name="Rbar_1_3_LCL">OFFSET([1]Calculations!$FJ$4,0,0,SUM([1]Calculations!$BB$4:$BB$4))</definedName>
    <definedName name="Rbar_1_3_UCL">OFFSET([1]Calculations!$FI$4,0,0,SUM([1]Calculations!$BB$4:$BB$4))</definedName>
    <definedName name="Rbar_2_3_LCL">OFFSET([1]Calculations!$FF$4,0,0,SUM([1]Calculations!$BB$4:$BB$4))</definedName>
    <definedName name="Rbar_2_3_UCL">OFFSET([1]Calculations!$FE$4,0,0,SUM([1]Calculations!$BB$4:$BB$4))</definedName>
    <definedName name="ReleaseP">[8]Draft!$C$4:$C$9</definedName>
    <definedName name="s">[4]Lists!#REF!</definedName>
    <definedName name="sfdfd">OFFSET([0]!Data,1,1)</definedName>
    <definedName name="Status">#REF!</definedName>
    <definedName name="SysTestFactor">#REF!</definedName>
    <definedName name="TeamAdminFactor">#REF!</definedName>
    <definedName name="TechSupportFactor">#REF!</definedName>
    <definedName name="TYP_PGM">'[5]List Values'!$B$2:$B$6</definedName>
    <definedName name="TYPE_PROGA">'[5]List Values'!$B$12:$B$17</definedName>
    <definedName name="UATFactor">#REF!</definedName>
    <definedName name="ucl">OFFSET([1]Calculations!$EX$4,0,0,SUM([1]Calculations!$BB$4:$BB$4))</definedName>
    <definedName name="uclR">OFFSET([1]Calculations!$FA$4,0,0,SUM([1]Calculations!$BB$4:$BB$4))</definedName>
    <definedName name="USL">OFFSET(LSL,0,1)</definedName>
    <definedName name="V">#REF!</definedName>
    <definedName name="Xbar_1_3_LCL">OFFSET([1]Calculations!$FH$4,0,0,SUM([1]Calculations!$BB$4:$BB$4))</definedName>
    <definedName name="Xbar_1_3_UCL">OFFSET([1]Calculations!$FG$4,0,0,SUM([1]Calculations!$BB$4:$BB$4))</definedName>
    <definedName name="Xbar_2_3_LCL">OFFSET([1]Calculations!$FD$4,0,0,SUM([1]Calculations!$BB$4:$BB$4))</definedName>
    <definedName name="Xbar_2_3_UCL">OFFSET([1]Calculations!$FC$4,0,0,SUM([1]Calculations!$BB$4:$BB$4))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9" i="1" l="1"/>
  <c r="N39" i="1"/>
  <c r="M39" i="1"/>
  <c r="L39" i="1"/>
  <c r="K39" i="1"/>
  <c r="J39" i="1"/>
  <c r="I39" i="1"/>
  <c r="H39" i="1"/>
  <c r="G39" i="1"/>
  <c r="F39" i="1"/>
  <c r="E39" i="1"/>
  <c r="D39" i="1"/>
  <c r="O38" i="1"/>
  <c r="N38" i="1"/>
  <c r="M38" i="1"/>
  <c r="L38" i="1"/>
  <c r="K38" i="1"/>
  <c r="J38" i="1"/>
  <c r="I38" i="1"/>
  <c r="H38" i="1"/>
  <c r="G38" i="1"/>
  <c r="F38" i="1"/>
  <c r="E38" i="1"/>
  <c r="D38" i="1"/>
  <c r="O36" i="1"/>
  <c r="N36" i="1"/>
  <c r="M36" i="1"/>
  <c r="L36" i="1"/>
  <c r="K36" i="1"/>
  <c r="J36" i="1"/>
  <c r="I36" i="1"/>
  <c r="H36" i="1"/>
  <c r="G36" i="1"/>
  <c r="F36" i="1"/>
  <c r="E36" i="1"/>
  <c r="D36" i="1"/>
  <c r="O35" i="1"/>
  <c r="N35" i="1"/>
  <c r="M35" i="1"/>
  <c r="L35" i="1"/>
  <c r="K35" i="1"/>
  <c r="J35" i="1"/>
  <c r="I35" i="1"/>
  <c r="H35" i="1"/>
  <c r="G35" i="1"/>
  <c r="F35" i="1"/>
  <c r="E35" i="1"/>
  <c r="D35" i="1"/>
  <c r="O34" i="1"/>
  <c r="N34" i="1"/>
  <c r="M34" i="1"/>
  <c r="L34" i="1"/>
  <c r="K34" i="1"/>
  <c r="J34" i="1"/>
  <c r="I34" i="1"/>
  <c r="H34" i="1"/>
  <c r="G34" i="1"/>
  <c r="F34" i="1"/>
  <c r="E34" i="1"/>
  <c r="D34" i="1"/>
  <c r="O33" i="1"/>
  <c r="N33" i="1"/>
  <c r="M33" i="1"/>
  <c r="L33" i="1"/>
  <c r="K33" i="1"/>
  <c r="J33" i="1"/>
  <c r="I33" i="1"/>
  <c r="H33" i="1"/>
  <c r="G33" i="1"/>
  <c r="F33" i="1"/>
  <c r="E33" i="1"/>
  <c r="D33" i="1"/>
  <c r="O32" i="1"/>
  <c r="N32" i="1"/>
  <c r="M32" i="1"/>
  <c r="L32" i="1"/>
  <c r="K32" i="1"/>
  <c r="J32" i="1"/>
  <c r="I32" i="1"/>
  <c r="H32" i="1"/>
  <c r="G32" i="1"/>
  <c r="F32" i="1"/>
  <c r="E32" i="1"/>
  <c r="D32" i="1"/>
  <c r="O31" i="1"/>
  <c r="N31" i="1"/>
  <c r="M31" i="1"/>
  <c r="L31" i="1"/>
  <c r="K31" i="1"/>
  <c r="J31" i="1"/>
  <c r="I31" i="1"/>
  <c r="H31" i="1"/>
  <c r="G31" i="1"/>
  <c r="F31" i="1"/>
  <c r="E31" i="1"/>
  <c r="D31" i="1"/>
  <c r="O30" i="1"/>
  <c r="N30" i="1"/>
  <c r="M30" i="1"/>
  <c r="L30" i="1"/>
  <c r="K30" i="1"/>
  <c r="J30" i="1"/>
  <c r="I30" i="1"/>
  <c r="H30" i="1"/>
  <c r="G30" i="1"/>
  <c r="F30" i="1"/>
  <c r="E30" i="1"/>
  <c r="D30" i="1"/>
  <c r="O29" i="1"/>
  <c r="N29" i="1"/>
  <c r="M29" i="1"/>
  <c r="L29" i="1"/>
  <c r="K29" i="1"/>
  <c r="J29" i="1"/>
  <c r="I29" i="1"/>
  <c r="H29" i="1"/>
  <c r="G29" i="1"/>
  <c r="F29" i="1"/>
  <c r="E29" i="1"/>
  <c r="D29" i="1"/>
  <c r="O28" i="1"/>
  <c r="N28" i="1"/>
  <c r="M28" i="1"/>
  <c r="L28" i="1"/>
  <c r="K28" i="1"/>
  <c r="J28" i="1"/>
  <c r="I28" i="1"/>
  <c r="H28" i="1"/>
  <c r="G28" i="1"/>
  <c r="F28" i="1"/>
  <c r="E28" i="1"/>
  <c r="D28" i="1"/>
  <c r="O27" i="1"/>
  <c r="N27" i="1"/>
  <c r="M27" i="1"/>
  <c r="L27" i="1"/>
  <c r="K27" i="1"/>
  <c r="J27" i="1"/>
  <c r="I27" i="1"/>
  <c r="H27" i="1"/>
  <c r="G27" i="1"/>
  <c r="F27" i="1"/>
  <c r="E27" i="1"/>
  <c r="D27" i="1"/>
  <c r="O26" i="1"/>
  <c r="N26" i="1"/>
  <c r="M26" i="1"/>
  <c r="L26" i="1"/>
  <c r="K26" i="1"/>
  <c r="J26" i="1"/>
  <c r="I26" i="1"/>
  <c r="H26" i="1"/>
  <c r="G26" i="1"/>
  <c r="F26" i="1"/>
  <c r="E26" i="1"/>
  <c r="D26" i="1"/>
  <c r="O25" i="1"/>
  <c r="N25" i="1"/>
  <c r="M25" i="1"/>
  <c r="L25" i="1"/>
  <c r="K25" i="1"/>
  <c r="J25" i="1"/>
  <c r="I25" i="1"/>
  <c r="H25" i="1"/>
  <c r="G25" i="1"/>
  <c r="F25" i="1"/>
  <c r="E25" i="1"/>
  <c r="D25" i="1"/>
  <c r="O24" i="1"/>
  <c r="N24" i="1"/>
  <c r="M24" i="1"/>
  <c r="L24" i="1"/>
  <c r="K24" i="1"/>
  <c r="J24" i="1"/>
  <c r="I24" i="1"/>
  <c r="H24" i="1"/>
  <c r="G24" i="1"/>
  <c r="F24" i="1"/>
  <c r="E24" i="1"/>
  <c r="D24" i="1"/>
  <c r="O23" i="1"/>
  <c r="N23" i="1"/>
  <c r="M23" i="1"/>
  <c r="L23" i="1"/>
  <c r="K23" i="1"/>
  <c r="J23" i="1"/>
  <c r="I23" i="1"/>
  <c r="H23" i="1"/>
  <c r="G23" i="1"/>
  <c r="F23" i="1"/>
  <c r="E23" i="1"/>
  <c r="D23" i="1"/>
  <c r="O22" i="1"/>
  <c r="N22" i="1"/>
  <c r="M22" i="1"/>
  <c r="L22" i="1"/>
  <c r="K22" i="1"/>
  <c r="J22" i="1"/>
  <c r="I22" i="1"/>
  <c r="H22" i="1"/>
  <c r="G22" i="1"/>
  <c r="F22" i="1"/>
  <c r="E22" i="1"/>
  <c r="D22" i="1"/>
  <c r="O21" i="1"/>
  <c r="N21" i="1"/>
  <c r="M21" i="1"/>
  <c r="L21" i="1"/>
  <c r="K21" i="1"/>
  <c r="J21" i="1"/>
  <c r="I21" i="1"/>
  <c r="H21" i="1"/>
  <c r="G21" i="1"/>
  <c r="F21" i="1"/>
  <c r="E21" i="1"/>
  <c r="D21" i="1"/>
  <c r="O20" i="1"/>
  <c r="N20" i="1"/>
  <c r="M20" i="1"/>
  <c r="L20" i="1"/>
  <c r="K20" i="1"/>
  <c r="J20" i="1"/>
  <c r="I20" i="1"/>
  <c r="H20" i="1"/>
  <c r="G20" i="1"/>
  <c r="F20" i="1"/>
  <c r="E20" i="1"/>
  <c r="D20" i="1"/>
  <c r="O19" i="1"/>
  <c r="N19" i="1"/>
  <c r="M19" i="1"/>
  <c r="L19" i="1"/>
  <c r="K19" i="1"/>
  <c r="J19" i="1"/>
  <c r="I19" i="1"/>
  <c r="H19" i="1"/>
  <c r="G19" i="1"/>
  <c r="F19" i="1"/>
  <c r="E19" i="1"/>
  <c r="D19" i="1"/>
  <c r="O18" i="1"/>
  <c r="N18" i="1"/>
  <c r="M18" i="1"/>
  <c r="L18" i="1"/>
  <c r="K18" i="1"/>
  <c r="J18" i="1"/>
  <c r="I18" i="1"/>
  <c r="H18" i="1"/>
  <c r="G18" i="1"/>
  <c r="F18" i="1"/>
  <c r="E18" i="1"/>
  <c r="D18" i="1"/>
  <c r="O17" i="1"/>
  <c r="N17" i="1"/>
  <c r="M17" i="1"/>
  <c r="L17" i="1"/>
  <c r="K17" i="1"/>
  <c r="J17" i="1"/>
  <c r="I17" i="1"/>
  <c r="H17" i="1"/>
  <c r="G17" i="1"/>
  <c r="F17" i="1"/>
  <c r="E17" i="1"/>
  <c r="D17" i="1"/>
  <c r="O16" i="1"/>
  <c r="N16" i="1"/>
  <c r="M16" i="1"/>
  <c r="L16" i="1"/>
  <c r="K16" i="1"/>
  <c r="J16" i="1"/>
  <c r="I16" i="1"/>
  <c r="H16" i="1"/>
  <c r="G16" i="1"/>
  <c r="F16" i="1"/>
  <c r="E16" i="1"/>
  <c r="D16" i="1"/>
  <c r="O15" i="1"/>
  <c r="N15" i="1"/>
  <c r="M15" i="1"/>
  <c r="L15" i="1"/>
  <c r="K15" i="1"/>
  <c r="J15" i="1"/>
  <c r="I15" i="1"/>
  <c r="H15" i="1"/>
  <c r="G15" i="1"/>
  <c r="F15" i="1"/>
  <c r="E15" i="1"/>
  <c r="D15" i="1"/>
  <c r="O14" i="1"/>
  <c r="N14" i="1"/>
  <c r="M14" i="1"/>
  <c r="L14" i="1"/>
  <c r="K14" i="1"/>
  <c r="J14" i="1"/>
  <c r="I14" i="1"/>
  <c r="H14" i="1"/>
  <c r="G14" i="1"/>
  <c r="F14" i="1"/>
  <c r="E14" i="1"/>
  <c r="D14" i="1"/>
  <c r="O13" i="1"/>
  <c r="N13" i="1"/>
  <c r="M13" i="1"/>
  <c r="L13" i="1"/>
  <c r="K13" i="1"/>
  <c r="J13" i="1"/>
  <c r="I13" i="1"/>
  <c r="H13" i="1"/>
  <c r="G13" i="1"/>
  <c r="F13" i="1"/>
  <c r="E13" i="1"/>
  <c r="D13" i="1"/>
  <c r="O12" i="1"/>
  <c r="N12" i="1"/>
  <c r="M12" i="1"/>
  <c r="L12" i="1"/>
  <c r="K12" i="1"/>
  <c r="J12" i="1"/>
  <c r="I12" i="1"/>
  <c r="H12" i="1"/>
  <c r="G12" i="1"/>
  <c r="F12" i="1"/>
  <c r="E12" i="1"/>
  <c r="D12" i="1"/>
  <c r="O11" i="1"/>
  <c r="N11" i="1"/>
  <c r="M11" i="1"/>
  <c r="L11" i="1"/>
  <c r="K11" i="1"/>
  <c r="J11" i="1"/>
  <c r="I11" i="1"/>
  <c r="H11" i="1"/>
  <c r="G11" i="1"/>
  <c r="F11" i="1"/>
  <c r="E11" i="1"/>
  <c r="D11" i="1"/>
  <c r="O10" i="1"/>
  <c r="N10" i="1"/>
  <c r="M10" i="1"/>
  <c r="L10" i="1"/>
  <c r="K10" i="1"/>
  <c r="J10" i="1"/>
  <c r="I10" i="1"/>
  <c r="H10" i="1"/>
  <c r="G10" i="1"/>
  <c r="F10" i="1"/>
  <c r="E10" i="1"/>
  <c r="D10" i="1"/>
  <c r="O9" i="1"/>
  <c r="N9" i="1"/>
  <c r="M9" i="1"/>
  <c r="L9" i="1"/>
  <c r="K9" i="1"/>
  <c r="J9" i="1"/>
  <c r="I9" i="1"/>
  <c r="H9" i="1"/>
  <c r="G9" i="1"/>
  <c r="F9" i="1"/>
  <c r="E9" i="1"/>
  <c r="D9" i="1"/>
  <c r="O8" i="1"/>
  <c r="N8" i="1"/>
  <c r="M8" i="1"/>
  <c r="L8" i="1"/>
  <c r="K8" i="1"/>
  <c r="J8" i="1"/>
  <c r="I8" i="1"/>
  <c r="H8" i="1"/>
  <c r="G8" i="1"/>
  <c r="F8" i="1"/>
  <c r="E8" i="1"/>
  <c r="D8" i="1"/>
  <c r="O7" i="1"/>
  <c r="N7" i="1"/>
  <c r="M7" i="1"/>
  <c r="L7" i="1"/>
  <c r="K7" i="1"/>
  <c r="J7" i="1"/>
  <c r="I7" i="1"/>
  <c r="H7" i="1"/>
  <c r="G7" i="1"/>
  <c r="F7" i="1"/>
  <c r="E7" i="1"/>
  <c r="D7" i="1"/>
  <c r="O6" i="1"/>
  <c r="N6" i="1"/>
  <c r="M6" i="1"/>
  <c r="L6" i="1"/>
  <c r="K6" i="1"/>
  <c r="J6" i="1"/>
  <c r="I6" i="1"/>
  <c r="H6" i="1"/>
  <c r="G6" i="1"/>
  <c r="F6" i="1"/>
  <c r="E6" i="1"/>
  <c r="D6" i="1"/>
  <c r="O5" i="1"/>
  <c r="N5" i="1"/>
  <c r="M5" i="1"/>
  <c r="L5" i="1"/>
  <c r="K5" i="1"/>
  <c r="J5" i="1"/>
  <c r="I5" i="1"/>
  <c r="H5" i="1"/>
  <c r="G5" i="1"/>
  <c r="F5" i="1"/>
  <c r="E5" i="1"/>
  <c r="D5" i="1"/>
  <c r="O4" i="1"/>
  <c r="N4" i="1"/>
  <c r="M4" i="1"/>
  <c r="L4" i="1"/>
  <c r="K4" i="1"/>
  <c r="J4" i="1"/>
  <c r="I4" i="1"/>
  <c r="H4" i="1"/>
  <c r="G4" i="1"/>
  <c r="F4" i="1"/>
  <c r="E4" i="1"/>
  <c r="D4" i="1"/>
  <c r="O3" i="1"/>
  <c r="N3" i="1"/>
  <c r="M3" i="1"/>
  <c r="L3" i="1"/>
  <c r="K3" i="1"/>
  <c r="J3" i="1"/>
  <c r="I3" i="1"/>
  <c r="H3" i="1"/>
  <c r="G3" i="1"/>
  <c r="F3" i="1"/>
  <c r="E3" i="1"/>
  <c r="D3" i="1"/>
  <c r="O2" i="1"/>
  <c r="N2" i="1"/>
  <c r="M2" i="1"/>
  <c r="L2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<sst xmlns="http://schemas.openxmlformats.org/spreadsheetml/2006/main" count="63" uniqueCount="60">
  <si>
    <t>Sr.No.</t>
  </si>
  <si>
    <t>Requiremets ID</t>
  </si>
  <si>
    <t>Initial Project Size</t>
    <phoneticPr fontId="0" type="noConversion"/>
  </si>
  <si>
    <t>Actual Analysis Efforts (MD)</t>
    <phoneticPr fontId="0" type="noConversion"/>
  </si>
  <si>
    <t>Actual Analysis Review Efforts (MD)</t>
    <phoneticPr fontId="0" type="noConversion"/>
  </si>
  <si>
    <t>Design Efforts(MD)</t>
    <phoneticPr fontId="0" type="noConversion"/>
  </si>
  <si>
    <t>Design Review Efforts (MD)</t>
    <phoneticPr fontId="0" type="noConversion"/>
  </si>
  <si>
    <t>Coding Efforts</t>
    <phoneticPr fontId="0" type="noConversion"/>
  </si>
  <si>
    <t>Code Review Efforts</t>
  </si>
  <si>
    <t>Unit Test Design Efforts</t>
    <phoneticPr fontId="0" type="noConversion"/>
  </si>
  <si>
    <t xml:space="preserve">Unit Test Review Efforts </t>
    <phoneticPr fontId="0" type="noConversion"/>
  </si>
  <si>
    <t>SIT Testing Efforts</t>
    <phoneticPr fontId="0" type="noConversion"/>
  </si>
  <si>
    <t xml:space="preserve">UAT Efforts </t>
    <phoneticPr fontId="0" type="noConversion"/>
  </si>
  <si>
    <t>Documentation Efforts</t>
    <phoneticPr fontId="0" type="noConversion"/>
  </si>
  <si>
    <t>Documentation Review Efforts</t>
    <phoneticPr fontId="0" type="noConversion"/>
  </si>
  <si>
    <t>Analysis Review Defects</t>
  </si>
  <si>
    <t>Design Review Defects</t>
  </si>
  <si>
    <t>Code Review Defects</t>
  </si>
  <si>
    <t>SIT Defects</t>
    <phoneticPr fontId="0" type="noConversion"/>
  </si>
  <si>
    <t xml:space="preserve">UAT Defects </t>
    <phoneticPr fontId="0" type="noConversion"/>
  </si>
  <si>
    <t>LISC0300028</t>
    <phoneticPr fontId="0" type="noConversion"/>
  </si>
  <si>
    <t>LISC0300017</t>
    <phoneticPr fontId="0" type="noConversion"/>
  </si>
  <si>
    <t>LISC0300021</t>
    <phoneticPr fontId="0" type="noConversion"/>
  </si>
  <si>
    <t>ERPC0300013</t>
    <phoneticPr fontId="0" type="noConversion"/>
  </si>
  <si>
    <t>LISC0500030</t>
    <phoneticPr fontId="0" type="noConversion"/>
  </si>
  <si>
    <t>ERPC0700005</t>
    <phoneticPr fontId="0" type="noConversion"/>
  </si>
  <si>
    <t>ERPC0600010</t>
    <phoneticPr fontId="0" type="noConversion"/>
  </si>
  <si>
    <t>LISC0600002</t>
    <phoneticPr fontId="0" type="noConversion"/>
  </si>
  <si>
    <t>ERPC0700002</t>
    <phoneticPr fontId="0" type="noConversion"/>
  </si>
  <si>
    <t>ERPC0700003</t>
    <phoneticPr fontId="0" type="noConversion"/>
  </si>
  <si>
    <t>ERPC0700011</t>
    <phoneticPr fontId="0" type="noConversion"/>
  </si>
  <si>
    <t>DCMC100002</t>
    <phoneticPr fontId="0" type="noConversion"/>
  </si>
  <si>
    <t>DCMC100003</t>
    <phoneticPr fontId="0" type="noConversion"/>
  </si>
  <si>
    <t>DCMC100005</t>
    <phoneticPr fontId="0" type="noConversion"/>
  </si>
  <si>
    <t>LISC1100023</t>
    <phoneticPr fontId="0" type="noConversion"/>
  </si>
  <si>
    <t>LISC0300018</t>
    <phoneticPr fontId="0" type="noConversion"/>
  </si>
  <si>
    <t>LISC1100024</t>
    <phoneticPr fontId="0" type="noConversion"/>
  </si>
  <si>
    <t>RCHC0700006</t>
    <phoneticPr fontId="0" type="noConversion"/>
  </si>
  <si>
    <t>ERPC0700017</t>
    <phoneticPr fontId="0" type="noConversion"/>
  </si>
  <si>
    <t>LISC0500033</t>
    <phoneticPr fontId="0" type="noConversion"/>
  </si>
  <si>
    <t>LISC0600012</t>
    <phoneticPr fontId="0" type="noConversion"/>
  </si>
  <si>
    <t>ERPC0800001</t>
    <phoneticPr fontId="0" type="noConversion"/>
  </si>
  <si>
    <t>ERPC0700008</t>
    <phoneticPr fontId="0" type="noConversion"/>
  </si>
  <si>
    <t>LISC0500008</t>
    <phoneticPr fontId="0" type="noConversion"/>
  </si>
  <si>
    <t>ERPC0800009</t>
    <phoneticPr fontId="0" type="noConversion"/>
  </si>
  <si>
    <t>ERPC0500015</t>
    <phoneticPr fontId="0" type="noConversion"/>
  </si>
  <si>
    <t>LISC0200026</t>
    <phoneticPr fontId="0" type="noConversion"/>
  </si>
  <si>
    <t>ERPC0800011</t>
    <phoneticPr fontId="0" type="noConversion"/>
  </si>
  <si>
    <t>LISC0900007</t>
    <phoneticPr fontId="0" type="noConversion"/>
  </si>
  <si>
    <t>LISC0500022</t>
    <phoneticPr fontId="0" type="noConversion"/>
  </si>
  <si>
    <t>ERPC0700016</t>
    <phoneticPr fontId="0" type="noConversion"/>
  </si>
  <si>
    <t>LISC0300022</t>
    <phoneticPr fontId="0" type="noConversion"/>
  </si>
  <si>
    <t>RCHC0700001</t>
    <phoneticPr fontId="0" type="noConversion"/>
  </si>
  <si>
    <t>RCHC0600007</t>
    <phoneticPr fontId="0" type="noConversion"/>
  </si>
  <si>
    <t>RCHC0700002</t>
    <phoneticPr fontId="0" type="noConversion"/>
  </si>
  <si>
    <t>GFMIS R12 Upgrade</t>
    <phoneticPr fontId="0" type="noConversion"/>
  </si>
  <si>
    <t xml:space="preserve">HRMS R12 Upgrade </t>
    <phoneticPr fontId="0" type="noConversion"/>
  </si>
  <si>
    <t>YMCA</t>
    <phoneticPr fontId="0" type="noConversion"/>
  </si>
  <si>
    <t>GFMIS R11 Maint -
SR14299</t>
  </si>
  <si>
    <t>HRMS web-Appraisal Revamp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</si>
</sst>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us\CMMiL5\Documents%20and%20Settings\rajesh.shetty\Desktop\Office\Quality\QPM-Trial\WAN04%20-%20QPM\PPB%20&amp;%20PCB\PPB\WAN04%20-%20PPB%20-%20Pre%20Algebra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Office%20Docs/PCCW/MPM/TCG216a%20-%20Data%20Capture%20Sheet%20-%20Oracle%20Dev%20Project%20V2R0.xlsx" TargetMode="External"/><Relationship Id="rId2" Type="http://schemas.openxmlformats.org/officeDocument/2006/relationships/externalLinkPath" Target="file:///C:\Office%20Docs\PCCW\MPM\TCG216a%20-%20Data%20Capture%20Sheet%20-%20Oracle%20Dev%20Project%20V2R0.xlsx" TargetMode="External"/><Relationship Id="rId1" Type="http://schemas.openxmlformats.org/officeDocument/2006/relationships/externalLinkPath" Target="/Office%20Docs/PCCW/MPM/TCG216a%20-%20Data%20Capture%20Sheet%20-%20Oracle%20Dev%20Project%20V2R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target.com/Debasish/Miller/14.%20Estimation/Estimation%20-%20BIDW%20(FP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18.deloitteonline.com/Documents%20and%20Settings/secassidy/My%20Documents/00MyData/Main/Other%20Projects/PA%20NEDSS/3%20Trans%20Team/Project%20Management/Metrics/DevPerfEstimationMetrics_examp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target.com/DTM_EventManagement/DTM-ProgramPlanning_EventManagementRaw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pmgindia365-my.sharepoint.com/WIP/Templates/Project%20Management%20Track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target.com/sites/DTM/Team%20Documents/Program%20Planning/DTM%20Deliverables%20with%20Release%20Matrix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target.com/Documents%20and%20Settings/z037118/Local%20Settings/Temporary%20Internet%20Files/OLK12E/DTM-ProgramPlanning_EventManagement_DRAFT_020608_223Last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_DATA_"/>
      <sheetName val="Info"/>
      <sheetName val="Baseline"/>
      <sheetName val="Raw Data"/>
      <sheetName val="Outliers"/>
      <sheetName val="Data Entry"/>
      <sheetName val="About This Template"/>
      <sheetName val="Calcul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4">
            <v>40.5</v>
          </cell>
          <cell r="B4" t="str">
            <v/>
          </cell>
          <cell r="BB4">
            <v>100</v>
          </cell>
          <cell r="BK4" t="e">
            <v>#N/A</v>
          </cell>
          <cell r="BL4" t="e">
            <v>#N/A</v>
          </cell>
          <cell r="BM4" t="e">
            <v>#N/A</v>
          </cell>
          <cell r="EX4">
            <v>49.119940404040406</v>
          </cell>
          <cell r="EY4">
            <v>19.526499999999999</v>
          </cell>
          <cell r="EZ4">
            <v>-10.066940404040409</v>
          </cell>
          <cell r="FA4">
            <v>36.379906060606061</v>
          </cell>
          <cell r="FB4">
            <v>11.125353535353536</v>
          </cell>
          <cell r="FC4">
            <v>39.25546026936027</v>
          </cell>
          <cell r="FD4">
            <v>-0.20246026936027306</v>
          </cell>
          <cell r="FE4">
            <v>27.961721885521886</v>
          </cell>
          <cell r="FF4">
            <v>27.961721885521886</v>
          </cell>
          <cell r="FG4">
            <v>29.390980134680134</v>
          </cell>
          <cell r="FH4">
            <v>9.6620198653198628</v>
          </cell>
          <cell r="FI4">
            <v>19.543537710437711</v>
          </cell>
          <cell r="FJ4">
            <v>2.7071693602693614</v>
          </cell>
          <cell r="FM4" t="e">
            <v>#N/A</v>
          </cell>
          <cell r="FN4" t="e">
            <v>#N/A</v>
          </cell>
          <cell r="FO4" t="e">
            <v>#N/A</v>
          </cell>
          <cell r="FP4" t="e">
            <v>#N/A</v>
          </cell>
          <cell r="FR4" t="e">
            <v>#N/A</v>
          </cell>
          <cell r="FS4" t="e">
            <v>#N/A</v>
          </cell>
          <cell r="FT4" t="e">
            <v>#N/A</v>
          </cell>
          <cell r="FU4" t="e">
            <v>#N/A</v>
          </cell>
          <cell r="FW4" t="e">
            <v>#N/A</v>
          </cell>
          <cell r="FX4" t="e">
            <v>#N/A</v>
          </cell>
          <cell r="FY4" t="e">
            <v>#N/A</v>
          </cell>
          <cell r="FZ4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mplate Revision History"/>
      <sheetName val="Revision History"/>
      <sheetName val="Development Data"/>
      <sheetName val="Dev Productivity"/>
      <sheetName val="Development Data 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ed - Sodexho"/>
      <sheetName val="Configurations"/>
    </sheetNames>
    <sheetDataSet>
      <sheetData sheetId="0" refreshError="1"/>
      <sheetData sheetId="1" refreshError="1"/>
      <sheetData sheetId="2">
        <row r="1">
          <cell r="C1" t="str">
            <v>Sodexho Functional Points</v>
          </cell>
        </row>
        <row r="2">
          <cell r="C2" t="str">
            <v>Project Initiation &amp; High Level Scope Definition</v>
          </cell>
        </row>
        <row r="3">
          <cell r="C3" t="str">
            <v>Deployment strategy and plan finalization</v>
          </cell>
        </row>
        <row r="4">
          <cell r="C4" t="str">
            <v>Information Architecture</v>
          </cell>
        </row>
        <row r="5">
          <cell r="A5" t="str">
            <v>Assessment</v>
          </cell>
        </row>
        <row r="6">
          <cell r="A6" t="str">
            <v>Vendor/Tool Evaluation</v>
          </cell>
        </row>
        <row r="7">
          <cell r="A7" t="str">
            <v>Vendor Management (if reqd)</v>
          </cell>
        </row>
        <row r="8">
          <cell r="A8" t="str">
            <v>Technical Architecture</v>
          </cell>
        </row>
        <row r="9">
          <cell r="A9" t="str">
            <v>Build</v>
          </cell>
        </row>
        <row r="10">
          <cell r="A10" t="str">
            <v>Release Testing</v>
          </cell>
        </row>
        <row r="11">
          <cell r="A11" t="str">
            <v>Integration Testing</v>
          </cell>
        </row>
        <row r="12">
          <cell r="A12" t="str">
            <v>Release Management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elopment"/>
      <sheetName val="Lists"/>
      <sheetName val="Detail"/>
      <sheetName val="%"/>
      <sheetName val="Build"/>
      <sheetName val="Progress"/>
      <sheetName val="_REFTBL_Development Components"/>
      <sheetName val="_REFTBL_A&amp;R Components"/>
      <sheetName val="_REFTBL_Lookup Table"/>
    </sheetNames>
    <sheetDataSet>
      <sheetData sheetId="0"/>
      <sheetData sheetId="1">
        <row r="2">
          <cell r="A2" t="str">
            <v>R10.01 Data Maintenance screens</v>
          </cell>
          <cell r="F2" t="str">
            <v>.NET Active Server Pages (ASP.NET)</v>
          </cell>
        </row>
        <row r="3">
          <cell r="A3" t="str">
            <v>R10.02 Context Sensitive Links</v>
          </cell>
          <cell r="F3" t="str">
            <v>.NET Assemblies</v>
          </cell>
        </row>
        <row r="4">
          <cell r="A4" t="str">
            <v>R10.03 Rewrite the Morbidity and Mortality Weekly Report (MMWR) Extract</v>
          </cell>
          <cell r="F4" t="str">
            <v>Active Server Pages (ASP)</v>
          </cell>
        </row>
        <row r="5">
          <cell r="A5" t="str">
            <v>R10.05 Support Unknown Gender Value</v>
          </cell>
          <cell r="F5" t="str">
            <v>JavaScript Pages</v>
          </cell>
        </row>
        <row r="6">
          <cell r="A6" t="str">
            <v>R10.06 Implement PA-NEDSS Conversion to MS .Net Architecture, Phase One</v>
          </cell>
          <cell r="F6" t="str">
            <v>Visual Basic (VB) Classes</v>
          </cell>
        </row>
        <row r="7">
          <cell r="A7" t="str">
            <v>RD.01 EMR Data Import</v>
          </cell>
          <cell r="F7" t="str">
            <v>Web Services</v>
          </cell>
        </row>
        <row r="8">
          <cell r="A8" t="str">
            <v>RD.02 Gender Assignment based on First Name</v>
          </cell>
          <cell r="F8" t="str">
            <v>XML Pages</v>
          </cell>
        </row>
        <row r="9">
          <cell r="A9" t="str">
            <v>RD.03 Laboratory Short form redesign</v>
          </cell>
          <cell r="F9" t="str">
            <v>XSLT Pages</v>
          </cell>
        </row>
        <row r="10">
          <cell r="A10" t="str">
            <v>Other Changes</v>
          </cell>
          <cell r="F10" t="str">
            <v>Database Functions</v>
          </cell>
        </row>
        <row r="11">
          <cell r="A11" t="str">
            <v>Ops Support Fixes</v>
          </cell>
          <cell r="F11" t="str">
            <v>Database Procedures</v>
          </cell>
        </row>
        <row r="12">
          <cell r="F12" t="str">
            <v>Database Script</v>
          </cell>
        </row>
        <row r="13">
          <cell r="F13" t="str">
            <v>Database Views</v>
          </cell>
        </row>
        <row r="14">
          <cell r="F14" t="str">
            <v>BizTalk Objects</v>
          </cell>
        </row>
        <row r="15">
          <cell r="F15" t="str">
            <v>Web User Controls</v>
          </cell>
        </row>
        <row r="16">
          <cell r="F16" t="str">
            <v>Extract</v>
          </cell>
        </row>
        <row r="17">
          <cell r="F17" t="str">
            <v>Schema</v>
          </cell>
        </row>
        <row r="18">
          <cell r="F18" t="str">
            <v>ETL</v>
          </cell>
        </row>
        <row r="19">
          <cell r="F19" t="str">
            <v>Reports</v>
          </cell>
        </row>
        <row r="20">
          <cell r="F20" t="str">
            <v>Cubes</v>
          </cell>
        </row>
        <row r="21">
          <cell r="F21" t="str">
            <v>Catalog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Graph"/>
      <sheetName val="Sheet1"/>
      <sheetName val="ProgramRoadmap"/>
      <sheetName val="ProjectSummary"/>
      <sheetName val="ExpenseList"/>
      <sheetName val="BenefitList"/>
      <sheetName val="MilestoneList"/>
      <sheetName val="ProjectList"/>
      <sheetName val="BuildProject"/>
      <sheetName val="FunctionList"/>
      <sheetName val="UseCases"/>
      <sheetName val="BuildProjectModel"/>
      <sheetName val="ProjectModelView"/>
      <sheetName val="Dependency"/>
      <sheetName val="UseCaseCalculation"/>
      <sheetName val="ActorList"/>
      <sheetName val="Data"/>
      <sheetName val="Temp"/>
      <sheetName val="List Values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D3" t="str">
            <v>0: Program</v>
          </cell>
        </row>
      </sheetData>
      <sheetData sheetId="17">
        <row r="2">
          <cell r="B2" t="str">
            <v>001  &lt;Infrastructure&gt; – Setup Dev/Test Environment</v>
          </cell>
        </row>
      </sheetData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Stakeholder Involvement Plan"/>
      <sheetName val="Training "/>
      <sheetName val="Project Team Charter"/>
      <sheetName val="Hardware Software Requirements"/>
      <sheetName val="Issue and Action Item Tracking"/>
      <sheetName val="Tailoring and Waiver"/>
      <sheetName val="Procurement Tracking"/>
      <sheetName val="BuyReuse Components"/>
      <sheetName val="Deliverables"/>
      <sheetName val="Temp"/>
      <sheetName val="Data"/>
      <sheetName val="Rough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iverables (BPA-level)"/>
      <sheetName val="Business Processes (BPAR-level)"/>
      <sheetName val="BP_Sum"/>
      <sheetName val="Misc Reqs From UCP"/>
      <sheetName val="Assumptions"/>
      <sheetName val="ReleaseMatrixA"/>
      <sheetName val="ReleaseMatrixB"/>
      <sheetName val="ReleaseMatrixC"/>
      <sheetName val="ReleaseMatrixD"/>
      <sheetName val="ReleaseMatrixE"/>
      <sheetName val="Draft"/>
      <sheetName val="Tailoring and Waiver"/>
      <sheetName val="Introduction"/>
      <sheetName val="EXAMP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C5" t="str">
            <v>A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3LastGantt"/>
      <sheetName val="OutBoundRoutingPhase2"/>
      <sheetName val="ProjectResourceLoad-NEW"/>
      <sheetName val="Financials"/>
      <sheetName val="ResourceRates"/>
      <sheetName val="Draft"/>
      <sheetName val="1 Sample t-Test (3)"/>
      <sheetName val="HistData(3) (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5CF4-F323-422E-9242-B3A87C2B7802}">
  <dimension ref="A1:T44"/>
  <sheetViews>
    <sheetView showGridLines="0" tabSelected="1" zoomScaleNormal="100" workbookViewId="0">
      <selection activeCell="K4" sqref="K4"/>
    </sheetView>
  </sheetViews>
  <sheetFormatPr defaultRowHeight="14.4" x14ac:dyDescent="0.3"/>
  <sheetData>
    <row r="1" spans="1:20" ht="6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26.4" x14ac:dyDescent="0.3">
      <c r="A2" s="3">
        <v>1</v>
      </c>
      <c r="B2" s="4" t="s">
        <v>20</v>
      </c>
      <c r="C2" s="5">
        <v>93.84</v>
      </c>
      <c r="D2" s="6">
        <f>(152/8)*0.8</f>
        <v>15.200000000000001</v>
      </c>
      <c r="E2" s="6">
        <f>(152/8)*0.2</f>
        <v>3.8000000000000003</v>
      </c>
      <c r="F2" s="6">
        <f>(256/8)*0.25</f>
        <v>8</v>
      </c>
      <c r="G2" s="6">
        <f>(256/8)*0.05</f>
        <v>1.6</v>
      </c>
      <c r="H2" s="6">
        <f>(256/8)*0.6</f>
        <v>19.2</v>
      </c>
      <c r="I2" s="6">
        <f>(256/8)*0.1</f>
        <v>3.2</v>
      </c>
      <c r="J2" s="6">
        <f>(280/8)*0.6</f>
        <v>21</v>
      </c>
      <c r="K2" s="6">
        <f>(280/8)*0.1</f>
        <v>3.5</v>
      </c>
      <c r="L2" s="6">
        <f>(280/8)*0.3</f>
        <v>10.5</v>
      </c>
      <c r="M2" s="6">
        <f>32/8</f>
        <v>4</v>
      </c>
      <c r="N2" s="6">
        <f>(32/8)*0.8</f>
        <v>3.2</v>
      </c>
      <c r="O2" s="6">
        <f>(32/8)*0.2</f>
        <v>0.8</v>
      </c>
      <c r="P2" s="6">
        <v>3</v>
      </c>
      <c r="Q2" s="6">
        <v>5</v>
      </c>
      <c r="R2" s="6">
        <v>8</v>
      </c>
      <c r="S2" s="6">
        <v>4</v>
      </c>
      <c r="T2" s="6">
        <v>6</v>
      </c>
    </row>
    <row r="3" spans="1:20" ht="26.4" x14ac:dyDescent="0.3">
      <c r="A3" s="3">
        <v>2</v>
      </c>
      <c r="B3" s="4" t="s">
        <v>21</v>
      </c>
      <c r="C3" s="5">
        <v>25.34</v>
      </c>
      <c r="D3" s="6">
        <f>(32/8)*0.8</f>
        <v>3.2</v>
      </c>
      <c r="E3" s="6">
        <f>(32/8)*0.2</f>
        <v>0.8</v>
      </c>
      <c r="F3" s="6">
        <f>(64/8)*0.25</f>
        <v>2</v>
      </c>
      <c r="G3" s="6">
        <f>(64/8)*0.05</f>
        <v>0.4</v>
      </c>
      <c r="H3" s="6">
        <f>(64/8)*0.6</f>
        <v>4.8</v>
      </c>
      <c r="I3" s="6">
        <f>(64/8)*0.1</f>
        <v>0.8</v>
      </c>
      <c r="J3" s="6">
        <f>(40/8)*0.6</f>
        <v>3</v>
      </c>
      <c r="K3" s="6">
        <f>(40/8)*0.1</f>
        <v>0.5</v>
      </c>
      <c r="L3" s="6">
        <f>(40/8)*0.3</f>
        <v>1.5</v>
      </c>
      <c r="M3" s="6">
        <f>32/8</f>
        <v>4</v>
      </c>
      <c r="N3" s="6">
        <f>(32/8)*0.8</f>
        <v>3.2</v>
      </c>
      <c r="O3" s="6">
        <f>(32/8)*0.2</f>
        <v>0.8</v>
      </c>
      <c r="P3" s="6">
        <v>2</v>
      </c>
      <c r="Q3" s="6">
        <v>0</v>
      </c>
      <c r="R3" s="6">
        <v>3</v>
      </c>
      <c r="S3" s="6">
        <v>1</v>
      </c>
      <c r="T3" s="6">
        <v>2</v>
      </c>
    </row>
    <row r="4" spans="1:20" ht="26.4" x14ac:dyDescent="0.3">
      <c r="A4" s="3">
        <v>3</v>
      </c>
      <c r="B4" s="4" t="s">
        <v>22</v>
      </c>
      <c r="C4" s="5">
        <v>42.21</v>
      </c>
      <c r="D4" s="6">
        <f>(56/8)*0.8</f>
        <v>5.6000000000000005</v>
      </c>
      <c r="E4" s="6">
        <f>(56/8)*0.2</f>
        <v>1.4000000000000001</v>
      </c>
      <c r="F4" s="6">
        <f>(104/8)*0.25</f>
        <v>3.25</v>
      </c>
      <c r="G4" s="6">
        <f>(104/8)*0.05</f>
        <v>0.65</v>
      </c>
      <c r="H4" s="6">
        <f>(104/8)*0.6</f>
        <v>7.8</v>
      </c>
      <c r="I4" s="6">
        <f>(104/8)*0.1</f>
        <v>1.3</v>
      </c>
      <c r="J4" s="6">
        <f>(40/8)*0.6</f>
        <v>3</v>
      </c>
      <c r="K4" s="6">
        <f>(40/8)*0.1</f>
        <v>0.5</v>
      </c>
      <c r="L4" s="6">
        <f>(40/8)*0.3</f>
        <v>1.5</v>
      </c>
      <c r="M4" s="6">
        <f>8/8</f>
        <v>1</v>
      </c>
      <c r="N4" s="6">
        <f>(32/8)*0.8</f>
        <v>3.2</v>
      </c>
      <c r="O4" s="6">
        <f>(32/8)*0.2</f>
        <v>0.8</v>
      </c>
      <c r="P4" s="6">
        <v>2</v>
      </c>
      <c r="Q4" s="6">
        <v>2</v>
      </c>
      <c r="R4" s="6">
        <v>3</v>
      </c>
      <c r="S4" s="6">
        <v>2</v>
      </c>
      <c r="T4" s="6">
        <v>4</v>
      </c>
    </row>
    <row r="5" spans="1:20" ht="26.4" x14ac:dyDescent="0.3">
      <c r="A5" s="3">
        <v>4</v>
      </c>
      <c r="B5" s="4" t="s">
        <v>23</v>
      </c>
      <c r="C5" s="5">
        <v>36.840000000000003</v>
      </c>
      <c r="D5" s="6">
        <f>(120/8)*0.8</f>
        <v>12</v>
      </c>
      <c r="E5" s="6">
        <f>(120/8)*0.2</f>
        <v>3</v>
      </c>
      <c r="F5" s="6">
        <f>(24/8)*0.25</f>
        <v>0.75</v>
      </c>
      <c r="G5" s="6">
        <f>(24/8)*0.05</f>
        <v>0.15000000000000002</v>
      </c>
      <c r="H5" s="6">
        <f>(24/8)*0.6</f>
        <v>1.7999999999999998</v>
      </c>
      <c r="I5" s="6">
        <f>(24/8)*0.1</f>
        <v>0.30000000000000004</v>
      </c>
      <c r="J5" s="6">
        <f>(8/8)*0.6</f>
        <v>0.6</v>
      </c>
      <c r="K5" s="6">
        <f>(8/8)*0.1</f>
        <v>0.1</v>
      </c>
      <c r="L5" s="6">
        <f>(8/8)*0.3</f>
        <v>0.3</v>
      </c>
      <c r="M5" s="6">
        <f>4/8</f>
        <v>0.5</v>
      </c>
      <c r="N5" s="6">
        <f>(4/8)*0.8</f>
        <v>0.4</v>
      </c>
      <c r="O5" s="6">
        <f>(4/8)*0.2</f>
        <v>0.1</v>
      </c>
      <c r="P5" s="6">
        <v>1</v>
      </c>
      <c r="Q5" s="6">
        <v>1</v>
      </c>
      <c r="R5" s="6">
        <v>2</v>
      </c>
      <c r="S5" s="6">
        <v>1</v>
      </c>
      <c r="T5" s="6">
        <v>2</v>
      </c>
    </row>
    <row r="6" spans="1:20" ht="26.4" x14ac:dyDescent="0.3">
      <c r="A6" s="3">
        <v>5</v>
      </c>
      <c r="B6" s="4" t="s">
        <v>24</v>
      </c>
      <c r="C6" s="5">
        <v>98.56</v>
      </c>
      <c r="D6" s="6">
        <f>(120/8)*0.8</f>
        <v>12</v>
      </c>
      <c r="E6" s="6">
        <f>(120/8)*0.2</f>
        <v>3</v>
      </c>
      <c r="F6" s="6">
        <f>(280/8)*0.25</f>
        <v>8.75</v>
      </c>
      <c r="G6" s="6">
        <f>(280/8)*0.05</f>
        <v>1.75</v>
      </c>
      <c r="H6" s="6">
        <f>(280/8)*0.6</f>
        <v>21</v>
      </c>
      <c r="I6" s="6">
        <f>(280/8)*0.1</f>
        <v>3.5</v>
      </c>
      <c r="J6" s="6">
        <f>(160/8)*0.6</f>
        <v>12</v>
      </c>
      <c r="K6" s="6">
        <f>(160/8)*0.1</f>
        <v>2</v>
      </c>
      <c r="L6" s="6">
        <f>(160/8)*0.3</f>
        <v>6</v>
      </c>
      <c r="M6" s="6">
        <f>16/8</f>
        <v>2</v>
      </c>
      <c r="N6" s="6">
        <f>(224/8)*0.8</f>
        <v>22.400000000000002</v>
      </c>
      <c r="O6" s="6">
        <f>(224/8)*0.2</f>
        <v>5.6000000000000005</v>
      </c>
      <c r="P6" s="6">
        <v>4</v>
      </c>
      <c r="Q6" s="6">
        <v>4</v>
      </c>
      <c r="R6" s="6">
        <v>5</v>
      </c>
      <c r="S6" s="6">
        <v>3</v>
      </c>
      <c r="T6" s="6">
        <v>5</v>
      </c>
    </row>
    <row r="7" spans="1:20" ht="26.4" x14ac:dyDescent="0.3">
      <c r="A7" s="3">
        <v>6</v>
      </c>
      <c r="B7" s="4" t="s">
        <v>25</v>
      </c>
      <c r="C7" s="5">
        <v>20.440000000000001</v>
      </c>
      <c r="D7" s="6">
        <f>(8/8)*0.8</f>
        <v>0.8</v>
      </c>
      <c r="E7" s="6">
        <f>(8/8)*0.2</f>
        <v>0.2</v>
      </c>
      <c r="F7" s="6">
        <f>(56/8)*0.25</f>
        <v>1.75</v>
      </c>
      <c r="G7" s="6">
        <f>(56/8)*0.05</f>
        <v>0.35000000000000003</v>
      </c>
      <c r="H7" s="6">
        <f>(56/8)*0.6</f>
        <v>4.2</v>
      </c>
      <c r="I7" s="6">
        <f>(56/8)*0.1</f>
        <v>0.70000000000000007</v>
      </c>
      <c r="J7" s="6">
        <f>(48/8)*0.6</f>
        <v>3.5999999999999996</v>
      </c>
      <c r="K7" s="6">
        <f>(48/8)*0.1</f>
        <v>0.60000000000000009</v>
      </c>
      <c r="L7" s="6">
        <f>(48/8)*0.3</f>
        <v>1.7999999999999998</v>
      </c>
      <c r="M7" s="6">
        <f>16/8</f>
        <v>2</v>
      </c>
      <c r="N7" s="6">
        <f>(32/8)*0.8</f>
        <v>3.2</v>
      </c>
      <c r="O7" s="6">
        <f>(32/8)*0.2</f>
        <v>0.8</v>
      </c>
      <c r="P7" s="6">
        <v>0</v>
      </c>
      <c r="Q7" s="6">
        <v>0</v>
      </c>
      <c r="R7" s="6">
        <v>2</v>
      </c>
      <c r="S7" s="6">
        <v>1</v>
      </c>
      <c r="T7" s="6">
        <v>1</v>
      </c>
    </row>
    <row r="8" spans="1:20" ht="26.4" x14ac:dyDescent="0.3">
      <c r="A8" s="3">
        <v>7</v>
      </c>
      <c r="B8" s="4" t="s">
        <v>26</v>
      </c>
      <c r="C8" s="5">
        <v>23.04</v>
      </c>
      <c r="D8" s="6">
        <f>(24/8)*0.8</f>
        <v>2.4000000000000004</v>
      </c>
      <c r="E8" s="6">
        <f>(24/8)*0.2</f>
        <v>0.60000000000000009</v>
      </c>
      <c r="F8" s="6">
        <f>(96/8)*0.25</f>
        <v>3</v>
      </c>
      <c r="G8" s="6">
        <f>(96/8)*0.05</f>
        <v>0.60000000000000009</v>
      </c>
      <c r="H8" s="6">
        <f>(96/8)*0.6</f>
        <v>7.1999999999999993</v>
      </c>
      <c r="I8" s="6">
        <f>(96/8)*0.1</f>
        <v>1.2000000000000002</v>
      </c>
      <c r="J8" s="6">
        <f>(46/8)*0.6</f>
        <v>3.4499999999999997</v>
      </c>
      <c r="K8" s="6">
        <f>(46/8)*0.1</f>
        <v>0.57500000000000007</v>
      </c>
      <c r="L8" s="6">
        <f>(46/8)*0.3</f>
        <v>1.7249999999999999</v>
      </c>
      <c r="M8" s="6">
        <f>80/8</f>
        <v>10</v>
      </c>
      <c r="N8" s="6">
        <f>(80/8)*0.8</f>
        <v>8</v>
      </c>
      <c r="O8" s="6">
        <f>(80/8)*0.2</f>
        <v>2</v>
      </c>
      <c r="P8" s="6">
        <v>1</v>
      </c>
      <c r="Q8" s="6">
        <v>0</v>
      </c>
      <c r="R8" s="6">
        <v>1</v>
      </c>
      <c r="S8" s="6">
        <v>1</v>
      </c>
      <c r="T8" s="6">
        <v>2</v>
      </c>
    </row>
    <row r="9" spans="1:20" ht="26.4" x14ac:dyDescent="0.3">
      <c r="A9" s="3">
        <v>8</v>
      </c>
      <c r="B9" s="4" t="s">
        <v>27</v>
      </c>
      <c r="C9" s="5">
        <v>20.440000000000001</v>
      </c>
      <c r="D9" s="6">
        <f>(40/8)*0.8</f>
        <v>4</v>
      </c>
      <c r="E9" s="6">
        <f>(40/8)*0.2</f>
        <v>1</v>
      </c>
      <c r="F9" s="6">
        <f>(24/8)*0.25</f>
        <v>0.75</v>
      </c>
      <c r="G9" s="6">
        <f>(24/8)*0.05</f>
        <v>0.15000000000000002</v>
      </c>
      <c r="H9" s="6">
        <f>(24/8)*0.6</f>
        <v>1.7999999999999998</v>
      </c>
      <c r="I9" s="6">
        <f>(24/8)*0.1</f>
        <v>0.30000000000000004</v>
      </c>
      <c r="J9" s="6">
        <f>(56/8)*0.6</f>
        <v>4.2</v>
      </c>
      <c r="K9" s="6">
        <f>(56/8)*0.1</f>
        <v>0.70000000000000007</v>
      </c>
      <c r="L9" s="6">
        <f>(56/8)*0.3</f>
        <v>2.1</v>
      </c>
      <c r="M9" s="6">
        <f>12/8</f>
        <v>1.5</v>
      </c>
      <c r="N9" s="6">
        <f>(40/8)*0.8</f>
        <v>4</v>
      </c>
      <c r="O9" s="6">
        <f>(40/8)*0.2</f>
        <v>1</v>
      </c>
      <c r="P9" s="6">
        <v>0</v>
      </c>
      <c r="Q9" s="6">
        <v>0</v>
      </c>
      <c r="R9" s="6">
        <v>0</v>
      </c>
      <c r="S9" s="6">
        <v>1</v>
      </c>
      <c r="T9" s="6">
        <v>1</v>
      </c>
    </row>
    <row r="10" spans="1:20" ht="26.4" x14ac:dyDescent="0.3">
      <c r="A10" s="3">
        <v>9</v>
      </c>
      <c r="B10" s="4" t="s">
        <v>28</v>
      </c>
      <c r="C10" s="5">
        <v>27.16</v>
      </c>
      <c r="D10" s="6">
        <f>(16/8)*0.8</f>
        <v>1.6</v>
      </c>
      <c r="E10" s="6">
        <f>(16/8)*0.2</f>
        <v>0.4</v>
      </c>
      <c r="F10" s="6">
        <f>(48/8)*0.25</f>
        <v>1.5</v>
      </c>
      <c r="G10" s="6">
        <f>(48/8)*0.05</f>
        <v>0.30000000000000004</v>
      </c>
      <c r="H10" s="6">
        <f>(48/8)*0.6</f>
        <v>3.5999999999999996</v>
      </c>
      <c r="I10" s="6">
        <f>(48/8)*0.1</f>
        <v>0.60000000000000009</v>
      </c>
      <c r="J10" s="6">
        <f>(48/8)*0.6</f>
        <v>3.5999999999999996</v>
      </c>
      <c r="K10" s="6">
        <f>(48/8)*0.1</f>
        <v>0.60000000000000009</v>
      </c>
      <c r="L10" s="6">
        <f>(48/8)*0.3</f>
        <v>1.7999999999999998</v>
      </c>
      <c r="M10" s="6">
        <f>12/8</f>
        <v>1.5</v>
      </c>
      <c r="N10" s="6">
        <f>(64/8)*0.8</f>
        <v>6.4</v>
      </c>
      <c r="O10" s="6">
        <f>(64/8)*0.2</f>
        <v>1.6</v>
      </c>
      <c r="P10" s="6">
        <v>2</v>
      </c>
      <c r="Q10" s="6">
        <v>1</v>
      </c>
      <c r="R10" s="6">
        <v>1</v>
      </c>
      <c r="S10" s="6">
        <v>2</v>
      </c>
      <c r="T10" s="6">
        <v>1</v>
      </c>
    </row>
    <row r="11" spans="1:20" ht="26.4" x14ac:dyDescent="0.3">
      <c r="A11" s="3">
        <v>10</v>
      </c>
      <c r="B11" s="4" t="s">
        <v>29</v>
      </c>
      <c r="C11" s="5">
        <v>20.440000000000001</v>
      </c>
      <c r="D11" s="6">
        <f>(16/8)*0.8</f>
        <v>1.6</v>
      </c>
      <c r="E11" s="6">
        <f>(16/8)*0.2</f>
        <v>0.4</v>
      </c>
      <c r="F11" s="6">
        <f>(40/8)*0.25</f>
        <v>1.25</v>
      </c>
      <c r="G11" s="6">
        <f>(40/8)*0.05</f>
        <v>0.25</v>
      </c>
      <c r="H11" s="6">
        <f>(40/8)*0.6</f>
        <v>3</v>
      </c>
      <c r="I11" s="6">
        <f>(40/8)*0.1</f>
        <v>0.5</v>
      </c>
      <c r="J11" s="6">
        <f>(32/8)*0.6</f>
        <v>2.4</v>
      </c>
      <c r="K11" s="6">
        <f>(32/8)*0.1</f>
        <v>0.4</v>
      </c>
      <c r="L11" s="6">
        <f>(32/8)*0.3</f>
        <v>1.2</v>
      </c>
      <c r="M11" s="6">
        <f>32/8</f>
        <v>4</v>
      </c>
      <c r="N11" s="6">
        <f>(40/8)*0.8</f>
        <v>4</v>
      </c>
      <c r="O11" s="6">
        <f>(40/8)*0.2</f>
        <v>1</v>
      </c>
      <c r="P11" s="6">
        <v>0</v>
      </c>
      <c r="Q11" s="6">
        <v>2</v>
      </c>
      <c r="R11" s="6">
        <v>1</v>
      </c>
      <c r="S11" s="6">
        <v>2</v>
      </c>
      <c r="T11" s="6">
        <v>0</v>
      </c>
    </row>
    <row r="12" spans="1:20" ht="26.4" x14ac:dyDescent="0.3">
      <c r="A12" s="3">
        <v>11</v>
      </c>
      <c r="B12" s="4" t="s">
        <v>30</v>
      </c>
      <c r="C12" s="5">
        <v>34.32</v>
      </c>
      <c r="D12" s="6">
        <f>(40/8)*0.8</f>
        <v>4</v>
      </c>
      <c r="E12" s="6">
        <f>(40/8)*0.2</f>
        <v>1</v>
      </c>
      <c r="F12" s="6">
        <f>(64/8)*0.25</f>
        <v>2</v>
      </c>
      <c r="G12" s="6">
        <f>(64/8)*0.05</f>
        <v>0.4</v>
      </c>
      <c r="H12" s="6">
        <f>(64/8)*0.6</f>
        <v>4.8</v>
      </c>
      <c r="I12" s="6">
        <f>(64/8)*0.1</f>
        <v>0.8</v>
      </c>
      <c r="J12" s="6">
        <f>(72/8)*0.6</f>
        <v>5.3999999999999995</v>
      </c>
      <c r="K12" s="6">
        <f>(72/8)*0.1</f>
        <v>0.9</v>
      </c>
      <c r="L12" s="6">
        <f>(72/8)*0.3</f>
        <v>2.6999999999999997</v>
      </c>
      <c r="M12" s="6">
        <f>56/8</f>
        <v>7</v>
      </c>
      <c r="N12" s="6">
        <f>(40/8)*0.8</f>
        <v>4</v>
      </c>
      <c r="O12" s="6">
        <f>(40/8)*0.2</f>
        <v>1</v>
      </c>
      <c r="P12" s="6">
        <v>1</v>
      </c>
      <c r="Q12" s="6">
        <v>2</v>
      </c>
      <c r="R12" s="6">
        <v>2</v>
      </c>
      <c r="S12" s="6">
        <v>2</v>
      </c>
      <c r="T12" s="6">
        <v>1</v>
      </c>
    </row>
    <row r="13" spans="1:20" ht="26.4" x14ac:dyDescent="0.3">
      <c r="A13" s="3">
        <v>12</v>
      </c>
      <c r="B13" s="4" t="s">
        <v>31</v>
      </c>
      <c r="C13" s="5">
        <v>30.11</v>
      </c>
      <c r="D13" s="6">
        <f>(16/8)*0.8</f>
        <v>1.6</v>
      </c>
      <c r="E13" s="6">
        <f>(16/8)*0.2</f>
        <v>0.4</v>
      </c>
      <c r="F13" s="6">
        <f>(120/8)*0.25</f>
        <v>3.75</v>
      </c>
      <c r="G13" s="6">
        <f>(120/8)*0.05</f>
        <v>0.75</v>
      </c>
      <c r="H13" s="6">
        <f>(120/8)*0.6</f>
        <v>9</v>
      </c>
      <c r="I13" s="6">
        <f>(120/8)*0.1</f>
        <v>1.5</v>
      </c>
      <c r="J13" s="6">
        <f>(40/8)*0.6</f>
        <v>3</v>
      </c>
      <c r="K13" s="6">
        <f>(40/8)*0.1</f>
        <v>0.5</v>
      </c>
      <c r="L13" s="6">
        <f>(40/8)*0.3</f>
        <v>1.5</v>
      </c>
      <c r="M13" s="6">
        <f>24/8</f>
        <v>3</v>
      </c>
      <c r="N13" s="6">
        <f>(40/8)*0.8</f>
        <v>4</v>
      </c>
      <c r="O13" s="6">
        <f>(40/8)*0.2</f>
        <v>1</v>
      </c>
      <c r="P13" s="6">
        <v>0</v>
      </c>
      <c r="Q13" s="6">
        <v>2</v>
      </c>
      <c r="R13" s="6">
        <v>2</v>
      </c>
      <c r="S13" s="6">
        <v>1</v>
      </c>
      <c r="T13" s="6">
        <v>3</v>
      </c>
    </row>
    <row r="14" spans="1:20" ht="26.4" x14ac:dyDescent="0.3">
      <c r="A14" s="3">
        <v>13</v>
      </c>
      <c r="B14" s="4" t="s">
        <v>32</v>
      </c>
      <c r="C14" s="5">
        <v>30.11</v>
      </c>
      <c r="D14" s="6">
        <f>(16/8)*0.8</f>
        <v>1.6</v>
      </c>
      <c r="E14" s="6">
        <f>(16/8)*0.2</f>
        <v>0.4</v>
      </c>
      <c r="F14" s="6">
        <f>(128/8)*0.25</f>
        <v>4</v>
      </c>
      <c r="G14" s="6">
        <f>(128/8)*0.05</f>
        <v>0.8</v>
      </c>
      <c r="H14" s="6">
        <f>(128/8)*0.6</f>
        <v>9.6</v>
      </c>
      <c r="I14" s="6">
        <f>(128/8)*0.1</f>
        <v>1.6</v>
      </c>
      <c r="J14" s="6">
        <f>(32/8)*0.6</f>
        <v>2.4</v>
      </c>
      <c r="K14" s="6">
        <f>(32/8)*0.1</f>
        <v>0.4</v>
      </c>
      <c r="L14" s="6">
        <f>(32/8)*0.3</f>
        <v>1.2</v>
      </c>
      <c r="M14" s="6">
        <f>24/8</f>
        <v>3</v>
      </c>
      <c r="N14" s="6">
        <f>(40/8)*0.8</f>
        <v>4</v>
      </c>
      <c r="O14" s="6">
        <f>(40/8)*0.2</f>
        <v>1</v>
      </c>
      <c r="P14" s="6">
        <v>0</v>
      </c>
      <c r="Q14" s="6">
        <v>1</v>
      </c>
      <c r="R14" s="6">
        <v>3</v>
      </c>
      <c r="S14" s="6">
        <v>2</v>
      </c>
      <c r="T14" s="6">
        <v>1</v>
      </c>
    </row>
    <row r="15" spans="1:20" ht="26.4" x14ac:dyDescent="0.3">
      <c r="A15" s="3">
        <v>14</v>
      </c>
      <c r="B15" s="4" t="s">
        <v>33</v>
      </c>
      <c r="C15" s="5">
        <v>49.71</v>
      </c>
      <c r="D15" s="6">
        <f>(32/8)*0.8</f>
        <v>3.2</v>
      </c>
      <c r="E15" s="6">
        <f>(32/8)*0.2</f>
        <v>0.8</v>
      </c>
      <c r="F15" s="6">
        <f>(200/8)*0.25</f>
        <v>6.25</v>
      </c>
      <c r="G15" s="6">
        <f>(200/8)*0.05</f>
        <v>1.25</v>
      </c>
      <c r="H15" s="6">
        <f>(200/8)*0.6</f>
        <v>15</v>
      </c>
      <c r="I15" s="6">
        <f>(200/8)*0.1</f>
        <v>2.5</v>
      </c>
      <c r="J15" s="6">
        <f>(80/8)*0.6</f>
        <v>6</v>
      </c>
      <c r="K15" s="6">
        <f>(80/8)*0.1</f>
        <v>1</v>
      </c>
      <c r="L15" s="6">
        <f>(80/8)*0.3</f>
        <v>3</v>
      </c>
      <c r="M15" s="6">
        <f>40/8</f>
        <v>5</v>
      </c>
      <c r="N15" s="6">
        <f>(40/8)*0.8</f>
        <v>4</v>
      </c>
      <c r="O15" s="6">
        <f>(40/8)*0.2</f>
        <v>1</v>
      </c>
      <c r="P15" s="6">
        <v>2</v>
      </c>
      <c r="Q15" s="6">
        <v>1</v>
      </c>
      <c r="R15" s="6">
        <v>4</v>
      </c>
      <c r="S15" s="6">
        <v>4</v>
      </c>
      <c r="T15" s="6">
        <v>3</v>
      </c>
    </row>
    <row r="16" spans="1:20" ht="26.4" x14ac:dyDescent="0.3">
      <c r="A16" s="3">
        <v>15</v>
      </c>
      <c r="B16" s="4" t="s">
        <v>34</v>
      </c>
      <c r="C16" s="5">
        <v>51.04</v>
      </c>
      <c r="D16" s="6">
        <f>(80/8)*0.8</f>
        <v>8</v>
      </c>
      <c r="E16" s="6">
        <f>(80/8)*0.2</f>
        <v>2</v>
      </c>
      <c r="F16" s="6">
        <f>(80/8)*0.25</f>
        <v>2.5</v>
      </c>
      <c r="G16" s="6">
        <f>(80/8)*0.05</f>
        <v>0.5</v>
      </c>
      <c r="H16" s="6">
        <f>(80/8)*0.6</f>
        <v>6</v>
      </c>
      <c r="I16" s="6">
        <f>(80/8)*0.1</f>
        <v>1</v>
      </c>
      <c r="J16" s="6">
        <f>(80/8)*0.6</f>
        <v>6</v>
      </c>
      <c r="K16" s="6">
        <f>(80/8)*0.1</f>
        <v>1</v>
      </c>
      <c r="L16" s="6">
        <f>(80/8)*0.3</f>
        <v>3</v>
      </c>
      <c r="M16" s="6">
        <f>88/8</f>
        <v>11</v>
      </c>
      <c r="N16" s="6">
        <f>(80/8)*0.8</f>
        <v>8</v>
      </c>
      <c r="O16" s="6">
        <f>(80/8)*0.2</f>
        <v>2</v>
      </c>
      <c r="P16" s="6">
        <v>2</v>
      </c>
      <c r="Q16" s="6">
        <v>2</v>
      </c>
      <c r="R16" s="6">
        <v>3</v>
      </c>
      <c r="S16" s="6">
        <v>2</v>
      </c>
      <c r="T16" s="6">
        <v>2</v>
      </c>
    </row>
    <row r="17" spans="1:20" ht="26.4" x14ac:dyDescent="0.3">
      <c r="A17" s="3">
        <v>16</v>
      </c>
      <c r="B17" s="4" t="s">
        <v>35</v>
      </c>
      <c r="C17" s="5">
        <v>24.94</v>
      </c>
      <c r="D17" s="6">
        <f>(40/8)*0.8</f>
        <v>4</v>
      </c>
      <c r="E17" s="6">
        <f>(40/8)*0.2</f>
        <v>1</v>
      </c>
      <c r="F17" s="6">
        <f>(56/8)*0.25</f>
        <v>1.75</v>
      </c>
      <c r="G17" s="6">
        <f>(56/8)*0.05</f>
        <v>0.35000000000000003</v>
      </c>
      <c r="H17" s="6">
        <f>(56/8)*0.6</f>
        <v>4.2</v>
      </c>
      <c r="I17" s="6">
        <f>(56/8)*0.1</f>
        <v>0.70000000000000007</v>
      </c>
      <c r="J17" s="6">
        <f>(56/8)*0.6</f>
        <v>4.2</v>
      </c>
      <c r="K17" s="6">
        <f>(56/8)*0.1</f>
        <v>0.70000000000000007</v>
      </c>
      <c r="L17" s="6">
        <f>(56/8)*0.3</f>
        <v>2.1</v>
      </c>
      <c r="M17" s="6">
        <f>16/8</f>
        <v>2</v>
      </c>
      <c r="N17" s="6">
        <f>(16/8)*0.8</f>
        <v>1.6</v>
      </c>
      <c r="O17" s="6">
        <f>(16/8)*0.2</f>
        <v>0.4</v>
      </c>
      <c r="P17" s="6">
        <v>0</v>
      </c>
      <c r="Q17" s="6">
        <v>1</v>
      </c>
      <c r="R17" s="6">
        <v>2</v>
      </c>
      <c r="S17" s="6">
        <v>1</v>
      </c>
      <c r="T17" s="6">
        <v>2</v>
      </c>
    </row>
    <row r="18" spans="1:20" ht="26.4" x14ac:dyDescent="0.3">
      <c r="A18" s="3">
        <v>17</v>
      </c>
      <c r="B18" s="4" t="s">
        <v>36</v>
      </c>
      <c r="C18" s="5">
        <v>44.07</v>
      </c>
      <c r="D18" s="6">
        <f>(70/8)*0.8</f>
        <v>7</v>
      </c>
      <c r="E18" s="6">
        <f>(70/8)*0.2</f>
        <v>1.75</v>
      </c>
      <c r="F18" s="6">
        <f>(70/8)*0.25</f>
        <v>2.1875</v>
      </c>
      <c r="G18" s="6">
        <f>(70/8)*0.05</f>
        <v>0.4375</v>
      </c>
      <c r="H18" s="6">
        <f>(70/8)*0.6</f>
        <v>5.25</v>
      </c>
      <c r="I18" s="6">
        <f>(70/8)*0.1</f>
        <v>0.875</v>
      </c>
      <c r="J18" s="6">
        <f>(70/8)*0.6</f>
        <v>5.25</v>
      </c>
      <c r="K18" s="6">
        <f>(70/8)*0.1</f>
        <v>0.875</v>
      </c>
      <c r="L18" s="6">
        <f>(70/8)*0.3</f>
        <v>2.625</v>
      </c>
      <c r="M18" s="6">
        <f>72/8</f>
        <v>9</v>
      </c>
      <c r="N18" s="6">
        <f>(70/8)*0.8</f>
        <v>7</v>
      </c>
      <c r="O18" s="6">
        <f>(70/8)*0.2</f>
        <v>1.75</v>
      </c>
      <c r="P18" s="6">
        <v>3</v>
      </c>
      <c r="Q18" s="6">
        <v>2</v>
      </c>
      <c r="R18" s="6">
        <v>1</v>
      </c>
      <c r="S18" s="6">
        <v>2</v>
      </c>
      <c r="T18" s="6">
        <v>2</v>
      </c>
    </row>
    <row r="19" spans="1:20" ht="26.4" x14ac:dyDescent="0.3">
      <c r="A19" s="3">
        <v>18</v>
      </c>
      <c r="B19" s="4" t="s">
        <v>37</v>
      </c>
      <c r="C19" s="5">
        <v>26.4</v>
      </c>
      <c r="D19" s="6">
        <f>(80/8)*0.8</f>
        <v>8</v>
      </c>
      <c r="E19" s="6">
        <f>(80/8)*0.2</f>
        <v>2</v>
      </c>
      <c r="F19" s="6">
        <f>(50/8)*0.25</f>
        <v>1.5625</v>
      </c>
      <c r="G19" s="6">
        <f>(50/8)*0.05</f>
        <v>0.3125</v>
      </c>
      <c r="H19" s="6">
        <f>(50/8)*0.6</f>
        <v>3.75</v>
      </c>
      <c r="I19" s="6">
        <f>(50/8)*0.1</f>
        <v>0.625</v>
      </c>
      <c r="J19" s="6">
        <f>(80/8)*0.6</f>
        <v>6</v>
      </c>
      <c r="K19" s="6">
        <f>(80/8)*0.1</f>
        <v>1</v>
      </c>
      <c r="L19" s="6">
        <f>(80/8)*0.3</f>
        <v>3</v>
      </c>
      <c r="M19" s="6">
        <f>45/8</f>
        <v>5.625</v>
      </c>
      <c r="N19" s="6">
        <f>(45/8)*0.8</f>
        <v>4.5</v>
      </c>
      <c r="O19" s="6">
        <f>(45/8)*0.2</f>
        <v>1.125</v>
      </c>
      <c r="P19" s="6">
        <v>0</v>
      </c>
      <c r="Q19" s="6">
        <v>1</v>
      </c>
      <c r="R19" s="6">
        <v>0</v>
      </c>
      <c r="S19" s="6">
        <v>2</v>
      </c>
      <c r="T19" s="6">
        <v>0</v>
      </c>
    </row>
    <row r="20" spans="1:20" ht="26.4" x14ac:dyDescent="0.3">
      <c r="A20" s="3">
        <v>19</v>
      </c>
      <c r="B20" s="4" t="s">
        <v>38</v>
      </c>
      <c r="C20" s="5">
        <v>22.16</v>
      </c>
      <c r="D20" s="6">
        <f>(42/8)*0.8</f>
        <v>4.2</v>
      </c>
      <c r="E20" s="6">
        <f>(42/8)*0.2</f>
        <v>1.05</v>
      </c>
      <c r="F20" s="6">
        <f>(90/8)*0.25</f>
        <v>2.8125</v>
      </c>
      <c r="G20" s="6">
        <f>(90/8)*0.05</f>
        <v>0.5625</v>
      </c>
      <c r="H20" s="6">
        <f>(90/8)*0.6</f>
        <v>6.75</v>
      </c>
      <c r="I20" s="6">
        <f>(90/8)*0.1</f>
        <v>1.125</v>
      </c>
      <c r="J20" s="6">
        <f>(20/8)*0.6</f>
        <v>1.5</v>
      </c>
      <c r="K20" s="6">
        <f>(20/8)*0.1</f>
        <v>0.25</v>
      </c>
      <c r="L20" s="6">
        <f>(20/8)*0.3</f>
        <v>0.75</v>
      </c>
      <c r="M20" s="6">
        <f>16/8</f>
        <v>2</v>
      </c>
      <c r="N20" s="6">
        <f>(40/8)*0.8</f>
        <v>4</v>
      </c>
      <c r="O20" s="6">
        <f>(40/8)*0.2</f>
        <v>1</v>
      </c>
      <c r="P20" s="6">
        <v>1</v>
      </c>
      <c r="Q20" s="6">
        <v>0</v>
      </c>
      <c r="R20" s="6">
        <v>1</v>
      </c>
      <c r="S20" s="6">
        <v>1</v>
      </c>
      <c r="T20" s="6">
        <v>1</v>
      </c>
    </row>
    <row r="21" spans="1:20" ht="26.4" x14ac:dyDescent="0.3">
      <c r="A21" s="3">
        <v>20</v>
      </c>
      <c r="B21" s="4" t="s">
        <v>39</v>
      </c>
      <c r="C21" s="5">
        <v>21.84</v>
      </c>
      <c r="D21" s="6">
        <f>(40/8)*0.8</f>
        <v>4</v>
      </c>
      <c r="E21" s="6">
        <f>(40/8)*0.2</f>
        <v>1</v>
      </c>
      <c r="F21" s="6">
        <f>(80/8)*0.25</f>
        <v>2.5</v>
      </c>
      <c r="G21" s="6">
        <f>(80/8)*0.05</f>
        <v>0.5</v>
      </c>
      <c r="H21" s="6">
        <f>(80/8)*0.6</f>
        <v>6</v>
      </c>
      <c r="I21" s="6">
        <f>(80/8)*0.1</f>
        <v>1</v>
      </c>
      <c r="J21" s="6">
        <f>(16/8)*0.6</f>
        <v>1.2</v>
      </c>
      <c r="K21" s="6">
        <f>(16/8)*0.1</f>
        <v>0.2</v>
      </c>
      <c r="L21" s="6">
        <f>(16/8)*0.3</f>
        <v>0.6</v>
      </c>
      <c r="M21" s="6">
        <f>8/8</f>
        <v>1</v>
      </c>
      <c r="N21" s="6">
        <f>(32/8)*0.8</f>
        <v>3.2</v>
      </c>
      <c r="O21" s="6">
        <f>(32/8)*0.2</f>
        <v>0.8</v>
      </c>
      <c r="P21" s="6">
        <v>0</v>
      </c>
      <c r="Q21" s="6">
        <v>0</v>
      </c>
      <c r="R21" s="6">
        <v>2</v>
      </c>
      <c r="S21" s="6">
        <v>1</v>
      </c>
      <c r="T21" s="6">
        <v>0</v>
      </c>
    </row>
    <row r="22" spans="1:20" ht="26.4" x14ac:dyDescent="0.3">
      <c r="A22" s="3">
        <v>21</v>
      </c>
      <c r="B22" s="4" t="s">
        <v>40</v>
      </c>
      <c r="C22" s="5">
        <v>24.04</v>
      </c>
      <c r="D22" s="6">
        <f>(80/8)*0.8</f>
        <v>8</v>
      </c>
      <c r="E22" s="6">
        <f>(80/8)*0.2</f>
        <v>2</v>
      </c>
      <c r="F22" s="6">
        <f>(40/8)*0.25</f>
        <v>1.25</v>
      </c>
      <c r="G22" s="6">
        <f>(40/8)*0.05</f>
        <v>0.25</v>
      </c>
      <c r="H22" s="6">
        <f>(40/8)*0.6</f>
        <v>3</v>
      </c>
      <c r="I22" s="6">
        <f>(40/8)*0.1</f>
        <v>0.5</v>
      </c>
      <c r="J22" s="6">
        <f>(80/8)*0.6</f>
        <v>6</v>
      </c>
      <c r="K22" s="6">
        <f>(80/8)*0.1</f>
        <v>1</v>
      </c>
      <c r="L22" s="6">
        <f>(80/8)*0.3</f>
        <v>3</v>
      </c>
      <c r="M22" s="6">
        <f>40/8</f>
        <v>5</v>
      </c>
      <c r="N22" s="6">
        <f>(40/8)*0.8</f>
        <v>4</v>
      </c>
      <c r="O22" s="6">
        <f>(40/8)*0.2</f>
        <v>1</v>
      </c>
      <c r="P22" s="6">
        <v>2</v>
      </c>
      <c r="Q22" s="6">
        <v>0</v>
      </c>
      <c r="R22" s="6">
        <v>1</v>
      </c>
      <c r="S22" s="6">
        <v>1</v>
      </c>
      <c r="T22" s="6">
        <v>1</v>
      </c>
    </row>
    <row r="23" spans="1:20" ht="26.4" x14ac:dyDescent="0.3">
      <c r="A23" s="3">
        <v>22</v>
      </c>
      <c r="B23" s="4" t="s">
        <v>41</v>
      </c>
      <c r="C23" s="5">
        <v>36.92</v>
      </c>
      <c r="D23" s="6">
        <f>(48/8)*0.8</f>
        <v>4.8000000000000007</v>
      </c>
      <c r="E23" s="6">
        <f>(48/8)*0.2</f>
        <v>1.2000000000000002</v>
      </c>
      <c r="F23" s="6">
        <f>(80/8)*0.25</f>
        <v>2.5</v>
      </c>
      <c r="G23" s="6">
        <f>(80/8)*0.05</f>
        <v>0.5</v>
      </c>
      <c r="H23" s="6">
        <f>(80/8)*0.6</f>
        <v>6</v>
      </c>
      <c r="I23" s="6">
        <f>(80/8)*0.1</f>
        <v>1</v>
      </c>
      <c r="J23" s="6">
        <f>(72/8)*0.6</f>
        <v>5.3999999999999995</v>
      </c>
      <c r="K23" s="6">
        <f>(72/8)*0.1</f>
        <v>0.9</v>
      </c>
      <c r="L23" s="6">
        <f>(72/8)*0.3</f>
        <v>2.6999999999999997</v>
      </c>
      <c r="M23" s="6">
        <f>56/8</f>
        <v>7</v>
      </c>
      <c r="N23" s="6">
        <f>(48/8)*0.8</f>
        <v>4.8000000000000007</v>
      </c>
      <c r="O23" s="6">
        <f>(48/8)*0.2</f>
        <v>1.2000000000000002</v>
      </c>
      <c r="P23" s="6">
        <v>2</v>
      </c>
      <c r="Q23" s="6">
        <v>2</v>
      </c>
      <c r="R23" s="6">
        <v>3</v>
      </c>
      <c r="S23" s="6">
        <v>2</v>
      </c>
      <c r="T23" s="6">
        <v>2</v>
      </c>
    </row>
    <row r="24" spans="1:20" ht="26.4" x14ac:dyDescent="0.3">
      <c r="A24" s="3">
        <v>23</v>
      </c>
      <c r="B24" s="4" t="s">
        <v>42</v>
      </c>
      <c r="C24" s="5">
        <v>23.24</v>
      </c>
      <c r="D24" s="6">
        <f>(16/8)*0.8</f>
        <v>1.6</v>
      </c>
      <c r="E24" s="6">
        <f>(16/8)*0.2</f>
        <v>0.4</v>
      </c>
      <c r="F24" s="6">
        <f>(64/8)*0.25</f>
        <v>2</v>
      </c>
      <c r="G24" s="6">
        <f>(64/8)*0.05</f>
        <v>0.4</v>
      </c>
      <c r="H24" s="6">
        <f>(64/8)*0.6</f>
        <v>4.8</v>
      </c>
      <c r="I24" s="6">
        <f>(64/8)*0.1</f>
        <v>0.8</v>
      </c>
      <c r="J24" s="6">
        <f>(48/8)*0.6</f>
        <v>3.5999999999999996</v>
      </c>
      <c r="K24" s="6">
        <f>(48/8)*0.1</f>
        <v>0.60000000000000009</v>
      </c>
      <c r="L24" s="6">
        <f>(48/8)*0.3</f>
        <v>1.7999999999999998</v>
      </c>
      <c r="M24" s="6">
        <f>24/8</f>
        <v>3</v>
      </c>
      <c r="N24" s="6">
        <f>(32/8)*0.8</f>
        <v>3.2</v>
      </c>
      <c r="O24" s="6">
        <f>(32/8)*0.2</f>
        <v>0.8</v>
      </c>
      <c r="P24" s="6">
        <v>1</v>
      </c>
      <c r="Q24" s="6">
        <v>0</v>
      </c>
      <c r="R24" s="6">
        <v>2</v>
      </c>
      <c r="S24" s="6">
        <v>1</v>
      </c>
      <c r="T24" s="6">
        <v>0</v>
      </c>
    </row>
    <row r="25" spans="1:20" ht="26.4" x14ac:dyDescent="0.3">
      <c r="A25" s="3">
        <v>24</v>
      </c>
      <c r="B25" s="4" t="s">
        <v>43</v>
      </c>
      <c r="C25" s="5">
        <v>29.44</v>
      </c>
      <c r="D25" s="6">
        <f>(24/8)*0.8</f>
        <v>2.4000000000000004</v>
      </c>
      <c r="E25" s="6">
        <f>(24/8)*0.2</f>
        <v>0.60000000000000009</v>
      </c>
      <c r="F25" s="6">
        <f>(56/8)*0.25</f>
        <v>1.75</v>
      </c>
      <c r="G25" s="6">
        <f>(56/8)*0.05</f>
        <v>0.35000000000000003</v>
      </c>
      <c r="H25" s="6">
        <f>(56/8)*0.6</f>
        <v>4.2</v>
      </c>
      <c r="I25" s="6">
        <f>(56/8)*0.1</f>
        <v>0.70000000000000007</v>
      </c>
      <c r="J25" s="6">
        <f>(32/8)*0.6</f>
        <v>2.4</v>
      </c>
      <c r="K25" s="6">
        <f>(32/8)*0.1</f>
        <v>0.4</v>
      </c>
      <c r="L25" s="6">
        <f>(32/8)*0.3</f>
        <v>1.2</v>
      </c>
      <c r="M25" s="6">
        <f>24/8</f>
        <v>3</v>
      </c>
      <c r="N25" s="6">
        <f>(24/8)*0.8</f>
        <v>2.4000000000000004</v>
      </c>
      <c r="O25" s="6">
        <f>(24/8)*0.2</f>
        <v>0.60000000000000009</v>
      </c>
      <c r="P25" s="6">
        <v>0</v>
      </c>
      <c r="Q25" s="6">
        <v>2</v>
      </c>
      <c r="R25" s="6">
        <v>1</v>
      </c>
      <c r="S25" s="6">
        <v>0</v>
      </c>
      <c r="T25" s="6">
        <v>2</v>
      </c>
    </row>
    <row r="26" spans="1:20" ht="26.4" x14ac:dyDescent="0.3">
      <c r="A26" s="3">
        <v>25</v>
      </c>
      <c r="B26" s="4" t="s">
        <v>44</v>
      </c>
      <c r="C26" s="5">
        <v>36.61</v>
      </c>
      <c r="D26" s="6">
        <f>(48/8)*0.8</f>
        <v>4.8000000000000007</v>
      </c>
      <c r="E26" s="6">
        <f>(48/8)*0.2</f>
        <v>1.2000000000000002</v>
      </c>
      <c r="F26" s="6">
        <f>(80/8)*0.25</f>
        <v>2.5</v>
      </c>
      <c r="G26" s="6">
        <f>(80/8)*0.05</f>
        <v>0.5</v>
      </c>
      <c r="H26" s="6">
        <f>(80/8)*0.6</f>
        <v>6</v>
      </c>
      <c r="I26" s="6">
        <f>(80/8)*0.1</f>
        <v>1</v>
      </c>
      <c r="J26" s="6">
        <f>(48/8)*0.6</f>
        <v>3.5999999999999996</v>
      </c>
      <c r="K26" s="6">
        <f>(48/8)*0.1</f>
        <v>0.60000000000000009</v>
      </c>
      <c r="L26" s="6">
        <f>(48/8)*0.3</f>
        <v>1.7999999999999998</v>
      </c>
      <c r="M26" s="6">
        <f>56/8</f>
        <v>7</v>
      </c>
      <c r="N26" s="6">
        <f>(40/8)*0.8</f>
        <v>4</v>
      </c>
      <c r="O26" s="6">
        <f>(40/8)*0.2</f>
        <v>1</v>
      </c>
      <c r="P26" s="6">
        <v>2</v>
      </c>
      <c r="Q26" s="6">
        <v>0</v>
      </c>
      <c r="R26" s="6">
        <v>2</v>
      </c>
      <c r="S26" s="6">
        <v>3</v>
      </c>
      <c r="T26" s="6">
        <v>1</v>
      </c>
    </row>
    <row r="27" spans="1:20" ht="26.4" x14ac:dyDescent="0.3">
      <c r="A27" s="3">
        <v>26</v>
      </c>
      <c r="B27" s="4" t="s">
        <v>45</v>
      </c>
      <c r="C27" s="5">
        <v>26</v>
      </c>
      <c r="D27" s="6">
        <f>(16/8)*0.8</f>
        <v>1.6</v>
      </c>
      <c r="E27" s="6">
        <f>(16/8)*0.2</f>
        <v>0.4</v>
      </c>
      <c r="F27" s="6">
        <f>(44/8)*0.25</f>
        <v>1.375</v>
      </c>
      <c r="G27" s="6">
        <f>(44/8)*0.05</f>
        <v>0.27500000000000002</v>
      </c>
      <c r="H27" s="6">
        <f>(44/8)*0.6</f>
        <v>3.3</v>
      </c>
      <c r="I27" s="6">
        <f>(44/8)*0.1</f>
        <v>0.55000000000000004</v>
      </c>
      <c r="J27" s="6">
        <f>(48/8)*0.6</f>
        <v>3.5999999999999996</v>
      </c>
      <c r="K27" s="6">
        <f>(48/8)*0.1</f>
        <v>0.60000000000000009</v>
      </c>
      <c r="L27" s="6">
        <f>(48/8)*0.3</f>
        <v>1.7999999999999998</v>
      </c>
      <c r="M27" s="6">
        <f>28/8</f>
        <v>3.5</v>
      </c>
      <c r="N27" s="6">
        <f>(20/8)*0.8</f>
        <v>2</v>
      </c>
      <c r="O27" s="6">
        <f>(20/8)*0.2</f>
        <v>0.5</v>
      </c>
      <c r="P27" s="6">
        <v>1</v>
      </c>
      <c r="Q27" s="6">
        <v>2</v>
      </c>
      <c r="R27" s="6">
        <v>1</v>
      </c>
      <c r="S27" s="6">
        <v>3</v>
      </c>
      <c r="T27" s="6">
        <v>0</v>
      </c>
    </row>
    <row r="28" spans="1:20" ht="26.4" x14ac:dyDescent="0.3">
      <c r="A28" s="3">
        <v>27</v>
      </c>
      <c r="B28" s="4" t="s">
        <v>46</v>
      </c>
      <c r="C28" s="5">
        <v>29</v>
      </c>
      <c r="D28" s="6">
        <f>(32/8)*0.8</f>
        <v>3.2</v>
      </c>
      <c r="E28" s="6">
        <f>(32/8)*0.2</f>
        <v>0.8</v>
      </c>
      <c r="F28" s="6">
        <f>(136/8)*0.25</f>
        <v>4.25</v>
      </c>
      <c r="G28" s="6">
        <f>(136/8)*0.05</f>
        <v>0.85000000000000009</v>
      </c>
      <c r="H28" s="6">
        <f>(136/8)*0.6</f>
        <v>10.199999999999999</v>
      </c>
      <c r="I28" s="6">
        <f>(136/8)*0.1</f>
        <v>1.7000000000000002</v>
      </c>
      <c r="J28" s="6">
        <f>(32/8)*0.6</f>
        <v>2.4</v>
      </c>
      <c r="K28" s="6">
        <f>(32/8)*0.1</f>
        <v>0.4</v>
      </c>
      <c r="L28" s="6">
        <f>(32/8)*0.3</f>
        <v>1.2</v>
      </c>
      <c r="M28" s="6">
        <f>8/8</f>
        <v>1</v>
      </c>
      <c r="N28" s="6">
        <f>(24/8)*0.8</f>
        <v>2.4000000000000004</v>
      </c>
      <c r="O28" s="6">
        <f>(24/8)*0.2</f>
        <v>0.60000000000000009</v>
      </c>
      <c r="P28" s="6">
        <v>1</v>
      </c>
      <c r="Q28" s="6">
        <v>1</v>
      </c>
      <c r="R28" s="6">
        <v>0</v>
      </c>
      <c r="S28" s="6">
        <v>2</v>
      </c>
      <c r="T28" s="6">
        <v>1</v>
      </c>
    </row>
    <row r="29" spans="1:20" ht="26.4" x14ac:dyDescent="0.3">
      <c r="A29" s="3">
        <v>28</v>
      </c>
      <c r="B29" s="4" t="s">
        <v>47</v>
      </c>
      <c r="C29" s="5">
        <v>27.61</v>
      </c>
      <c r="D29" s="6">
        <f>(80/8)*0.8</f>
        <v>8</v>
      </c>
      <c r="E29" s="6">
        <f>(80/8)*0.2</f>
        <v>2</v>
      </c>
      <c r="F29" s="6">
        <f>(80/8)*0.25</f>
        <v>2.5</v>
      </c>
      <c r="G29" s="6">
        <f>(80/8)*0.05</f>
        <v>0.5</v>
      </c>
      <c r="H29" s="6">
        <f>(80/8)*0.6</f>
        <v>6</v>
      </c>
      <c r="I29" s="6">
        <f>(80/8)*0.1</f>
        <v>1</v>
      </c>
      <c r="J29" s="6">
        <f>(96/8)*0.6</f>
        <v>7.1999999999999993</v>
      </c>
      <c r="K29" s="6">
        <f>(96/8)*0.1</f>
        <v>1.2000000000000002</v>
      </c>
      <c r="L29" s="6">
        <f>(96/8)*0.3</f>
        <v>3.5999999999999996</v>
      </c>
      <c r="M29" s="6">
        <f>45/8</f>
        <v>5.625</v>
      </c>
      <c r="N29" s="6">
        <f>(45/8)*0.8</f>
        <v>4.5</v>
      </c>
      <c r="O29" s="6">
        <f>(45/8)*0.2</f>
        <v>1.125</v>
      </c>
      <c r="P29" s="6">
        <v>1</v>
      </c>
      <c r="Q29" s="6">
        <v>0</v>
      </c>
      <c r="R29" s="6">
        <v>2</v>
      </c>
      <c r="S29" s="6">
        <v>1</v>
      </c>
      <c r="T29" s="6">
        <v>2</v>
      </c>
    </row>
    <row r="30" spans="1:20" ht="26.4" x14ac:dyDescent="0.3">
      <c r="A30" s="3">
        <v>29</v>
      </c>
      <c r="B30" s="4" t="s">
        <v>48</v>
      </c>
      <c r="C30" s="5">
        <v>25.18</v>
      </c>
      <c r="D30" s="6">
        <f>(24/8)*0.8</f>
        <v>2.4000000000000004</v>
      </c>
      <c r="E30" s="6">
        <f>(24/8)*0.2</f>
        <v>0.60000000000000009</v>
      </c>
      <c r="F30" s="6">
        <f>(80/8)*0.25</f>
        <v>2.5</v>
      </c>
      <c r="G30" s="6">
        <f>(80/8)*0.05</f>
        <v>0.5</v>
      </c>
      <c r="H30" s="6">
        <f>(80/8)*0.6</f>
        <v>6</v>
      </c>
      <c r="I30" s="6">
        <f>(80/8)*0.1</f>
        <v>1</v>
      </c>
      <c r="J30" s="6">
        <f>(80/8)*0.6</f>
        <v>6</v>
      </c>
      <c r="K30" s="6">
        <f>(80/8)*0.1</f>
        <v>1</v>
      </c>
      <c r="L30" s="6">
        <f>(80/8)*0.3</f>
        <v>3</v>
      </c>
      <c r="M30" s="6">
        <f>8/8</f>
        <v>1</v>
      </c>
      <c r="N30" s="6">
        <f>(12/8)*0.8</f>
        <v>1.2000000000000002</v>
      </c>
      <c r="O30" s="6">
        <f>(12/8)*0.2</f>
        <v>0.30000000000000004</v>
      </c>
      <c r="P30" s="6">
        <v>0</v>
      </c>
      <c r="Q30" s="6">
        <v>1</v>
      </c>
      <c r="R30" s="6">
        <v>1</v>
      </c>
      <c r="S30" s="6">
        <v>2</v>
      </c>
      <c r="T30" s="6">
        <v>1</v>
      </c>
    </row>
    <row r="31" spans="1:20" ht="26.4" x14ac:dyDescent="0.3">
      <c r="A31" s="3">
        <v>30</v>
      </c>
      <c r="B31" s="4" t="s">
        <v>49</v>
      </c>
      <c r="C31" s="5">
        <v>82</v>
      </c>
      <c r="D31" s="6">
        <f>(80/8)*0.8</f>
        <v>8</v>
      </c>
      <c r="E31" s="6">
        <f>(80/8)*0.2</f>
        <v>2</v>
      </c>
      <c r="F31" s="6">
        <f>(408/8)*0.25</f>
        <v>12.75</v>
      </c>
      <c r="G31" s="6">
        <f>(408/8)*0.05</f>
        <v>2.5500000000000003</v>
      </c>
      <c r="H31" s="6">
        <f>(408/8)*0.6</f>
        <v>30.599999999999998</v>
      </c>
      <c r="I31" s="6">
        <f>(408/8)*0.1</f>
        <v>5.1000000000000005</v>
      </c>
      <c r="J31" s="6">
        <f>(96/8)*0.6</f>
        <v>7.1999999999999993</v>
      </c>
      <c r="K31" s="6">
        <f>(96/8)*0.1</f>
        <v>1.2000000000000002</v>
      </c>
      <c r="L31" s="6">
        <f>(96/8)*0.3</f>
        <v>3.5999999999999996</v>
      </c>
      <c r="M31" s="6">
        <f>16/8</f>
        <v>2</v>
      </c>
      <c r="N31" s="6">
        <f>(200/8)*0.8</f>
        <v>20</v>
      </c>
      <c r="O31" s="6">
        <f>(200/8)*0.2</f>
        <v>5</v>
      </c>
      <c r="P31" s="6">
        <v>3</v>
      </c>
      <c r="Q31" s="6">
        <v>3</v>
      </c>
      <c r="R31" s="6">
        <v>6</v>
      </c>
      <c r="S31" s="6">
        <v>3</v>
      </c>
      <c r="T31" s="6">
        <v>3</v>
      </c>
    </row>
    <row r="32" spans="1:20" ht="26.4" x14ac:dyDescent="0.3">
      <c r="A32" s="3">
        <v>31</v>
      </c>
      <c r="B32" s="4" t="s">
        <v>49</v>
      </c>
      <c r="C32" s="5">
        <v>82</v>
      </c>
      <c r="D32" s="6">
        <f>(80/8)*0.8</f>
        <v>8</v>
      </c>
      <c r="E32" s="6">
        <f>(80/8)*0.2</f>
        <v>2</v>
      </c>
      <c r="F32" s="6">
        <f>(408/8)*0.25</f>
        <v>12.75</v>
      </c>
      <c r="G32" s="6">
        <f>(408/8)*0.05</f>
        <v>2.5500000000000003</v>
      </c>
      <c r="H32" s="6">
        <f>(408/8)*0.6</f>
        <v>30.599999999999998</v>
      </c>
      <c r="I32" s="6">
        <f>(408/8)*0.1</f>
        <v>5.1000000000000005</v>
      </c>
      <c r="J32" s="6">
        <f>(96/8)*0.6</f>
        <v>7.1999999999999993</v>
      </c>
      <c r="K32" s="6">
        <f>(96/8)*0.1</f>
        <v>1.2000000000000002</v>
      </c>
      <c r="L32" s="6">
        <f>(96/8)*0.3</f>
        <v>3.5999999999999996</v>
      </c>
      <c r="M32" s="6">
        <f>16/8</f>
        <v>2</v>
      </c>
      <c r="N32" s="6">
        <f>(200/8)*0.8</f>
        <v>20</v>
      </c>
      <c r="O32" s="6">
        <f>(200/8)*0.2</f>
        <v>5</v>
      </c>
      <c r="P32" s="6">
        <v>4</v>
      </c>
      <c r="Q32" s="6">
        <v>4</v>
      </c>
      <c r="R32" s="6">
        <v>5</v>
      </c>
      <c r="S32" s="6">
        <v>2</v>
      </c>
      <c r="T32" s="6">
        <v>5</v>
      </c>
    </row>
    <row r="33" spans="1:20" ht="26.4" x14ac:dyDescent="0.3">
      <c r="A33" s="3">
        <v>32</v>
      </c>
      <c r="B33" s="4" t="s">
        <v>49</v>
      </c>
      <c r="C33" s="5">
        <v>82</v>
      </c>
      <c r="D33" s="6">
        <f>(80/8)*0.8</f>
        <v>8</v>
      </c>
      <c r="E33" s="6">
        <f>(80/8)*0.2</f>
        <v>2</v>
      </c>
      <c r="F33" s="6">
        <f>(408/8)*0.25</f>
        <v>12.75</v>
      </c>
      <c r="G33" s="6">
        <f>(408/8)*0.05</f>
        <v>2.5500000000000003</v>
      </c>
      <c r="H33" s="6">
        <f>(408/8)*0.6</f>
        <v>30.599999999999998</v>
      </c>
      <c r="I33" s="6">
        <f>(408/8)*0.1</f>
        <v>5.1000000000000005</v>
      </c>
      <c r="J33" s="6">
        <f>(96/8)*0.6</f>
        <v>7.1999999999999993</v>
      </c>
      <c r="K33" s="6">
        <f>(96/8)*0.1</f>
        <v>1.2000000000000002</v>
      </c>
      <c r="L33" s="6">
        <f>(96/8)*0.3</f>
        <v>3.5999999999999996</v>
      </c>
      <c r="M33" s="6">
        <f>16/8</f>
        <v>2</v>
      </c>
      <c r="N33" s="6">
        <f>(200/8)*0.8</f>
        <v>20</v>
      </c>
      <c r="O33" s="6">
        <f>(200/8)*0.2</f>
        <v>5</v>
      </c>
      <c r="P33" s="6">
        <v>3</v>
      </c>
      <c r="Q33" s="6">
        <v>5</v>
      </c>
      <c r="R33" s="6">
        <v>6</v>
      </c>
      <c r="S33" s="6">
        <v>2</v>
      </c>
      <c r="T33" s="6">
        <v>4</v>
      </c>
    </row>
    <row r="34" spans="1:20" ht="26.4" x14ac:dyDescent="0.3">
      <c r="A34" s="3">
        <v>33</v>
      </c>
      <c r="B34" s="4" t="s">
        <v>49</v>
      </c>
      <c r="C34" s="5">
        <v>82</v>
      </c>
      <c r="D34" s="6">
        <f>(80/8)*0.8</f>
        <v>8</v>
      </c>
      <c r="E34" s="6">
        <f>(80/8)*0.2</f>
        <v>2</v>
      </c>
      <c r="F34" s="6">
        <f>(408/8)*0.25</f>
        <v>12.75</v>
      </c>
      <c r="G34" s="6">
        <f>(408/8)*0.05</f>
        <v>2.5500000000000003</v>
      </c>
      <c r="H34" s="6">
        <f>(408/8)*0.6</f>
        <v>30.599999999999998</v>
      </c>
      <c r="I34" s="6">
        <f>(408/8)*0.1</f>
        <v>5.1000000000000005</v>
      </c>
      <c r="J34" s="6">
        <f>(96/8)*0.6</f>
        <v>7.1999999999999993</v>
      </c>
      <c r="K34" s="6">
        <f>(96/8)*0.1</f>
        <v>1.2000000000000002</v>
      </c>
      <c r="L34" s="6">
        <f>(96/8)*0.3</f>
        <v>3.5999999999999996</v>
      </c>
      <c r="M34" s="6">
        <f>16/8</f>
        <v>2</v>
      </c>
      <c r="N34" s="6">
        <f>(200/8)*0.8</f>
        <v>20</v>
      </c>
      <c r="O34" s="6">
        <f>(200/8)*0.2</f>
        <v>5</v>
      </c>
      <c r="P34" s="6">
        <v>2</v>
      </c>
      <c r="Q34" s="6">
        <v>5</v>
      </c>
      <c r="R34" s="6">
        <v>6</v>
      </c>
      <c r="S34" s="6">
        <v>3</v>
      </c>
      <c r="T34" s="6">
        <v>5</v>
      </c>
    </row>
    <row r="35" spans="1:20" ht="26.4" x14ac:dyDescent="0.3">
      <c r="A35" s="3">
        <v>34</v>
      </c>
      <c r="B35" s="4" t="s">
        <v>50</v>
      </c>
      <c r="C35" s="5">
        <v>42.08</v>
      </c>
      <c r="D35" s="6">
        <f>(56/8)*0.8</f>
        <v>5.6000000000000005</v>
      </c>
      <c r="E35" s="6">
        <f>(56/8)*0.2</f>
        <v>1.4000000000000001</v>
      </c>
      <c r="F35" s="6">
        <f>(100/8)*0.25</f>
        <v>3.125</v>
      </c>
      <c r="G35" s="6">
        <f>(100/8)*0.05</f>
        <v>0.625</v>
      </c>
      <c r="H35" s="6">
        <f>(100/8)*0.6</f>
        <v>7.5</v>
      </c>
      <c r="I35" s="6">
        <f>(100/8)*0.1</f>
        <v>1.25</v>
      </c>
      <c r="J35" s="6">
        <f>(32/8)*0.6</f>
        <v>2.4</v>
      </c>
      <c r="K35" s="6">
        <f>(32/8)*0.1</f>
        <v>0.4</v>
      </c>
      <c r="L35" s="6">
        <f>(32/8)*0.3</f>
        <v>1.2</v>
      </c>
      <c r="M35" s="6">
        <f>8/8</f>
        <v>1</v>
      </c>
      <c r="N35" s="6">
        <f>(32/8)*0.8</f>
        <v>3.2</v>
      </c>
      <c r="O35" s="6">
        <f>(32/8)*0.2</f>
        <v>0.8</v>
      </c>
      <c r="P35" s="6">
        <v>1</v>
      </c>
      <c r="Q35" s="6">
        <v>0</v>
      </c>
      <c r="R35" s="6">
        <v>2</v>
      </c>
      <c r="S35" s="6">
        <v>1</v>
      </c>
      <c r="T35" s="6">
        <v>2</v>
      </c>
    </row>
    <row r="36" spans="1:20" ht="26.4" x14ac:dyDescent="0.3">
      <c r="A36" s="3">
        <v>35</v>
      </c>
      <c r="B36" s="4" t="s">
        <v>51</v>
      </c>
      <c r="C36" s="5">
        <v>20.97</v>
      </c>
      <c r="D36" s="6">
        <f>(40/8)*0.8</f>
        <v>4</v>
      </c>
      <c r="E36" s="6">
        <f>(40/8)*0.2</f>
        <v>1</v>
      </c>
      <c r="F36" s="6">
        <f>(24/8)*0.25</f>
        <v>0.75</v>
      </c>
      <c r="G36" s="6">
        <f>(24/8)*0.05</f>
        <v>0.15000000000000002</v>
      </c>
      <c r="H36" s="6">
        <f>(24/8)*0.6</f>
        <v>1.7999999999999998</v>
      </c>
      <c r="I36" s="6">
        <f>(24/8)*0.1</f>
        <v>0.30000000000000004</v>
      </c>
      <c r="J36" s="6">
        <f>(56/8)*0.6</f>
        <v>4.2</v>
      </c>
      <c r="K36" s="6">
        <f>(56/8)*0.1</f>
        <v>0.70000000000000007</v>
      </c>
      <c r="L36" s="6">
        <f>(56/8)*0.3</f>
        <v>2.1</v>
      </c>
      <c r="M36" s="6">
        <f>8/8</f>
        <v>1</v>
      </c>
      <c r="N36" s="6">
        <f>(40/8)*0.8</f>
        <v>4</v>
      </c>
      <c r="O36" s="6">
        <f>(40/8)*0.2</f>
        <v>1</v>
      </c>
      <c r="P36" s="6">
        <v>0</v>
      </c>
      <c r="Q36" s="6">
        <v>1</v>
      </c>
      <c r="R36" s="6">
        <v>1</v>
      </c>
      <c r="S36" s="6">
        <v>2</v>
      </c>
      <c r="T36" s="6">
        <v>1</v>
      </c>
    </row>
    <row r="37" spans="1:20" ht="26.4" x14ac:dyDescent="0.3">
      <c r="A37" s="3">
        <v>36</v>
      </c>
      <c r="B37" s="4" t="s">
        <v>52</v>
      </c>
      <c r="C37" s="5">
        <v>131.84</v>
      </c>
      <c r="D37" s="6">
        <v>8</v>
      </c>
      <c r="E37" s="6">
        <v>1.5</v>
      </c>
      <c r="F37" s="6">
        <v>9</v>
      </c>
      <c r="G37" s="6">
        <v>0.5</v>
      </c>
      <c r="H37" s="6">
        <v>75</v>
      </c>
      <c r="I37" s="6">
        <v>8</v>
      </c>
      <c r="J37" s="6">
        <v>10</v>
      </c>
      <c r="K37" s="6">
        <v>0.8</v>
      </c>
      <c r="L37" s="6">
        <v>6</v>
      </c>
      <c r="M37" s="6">
        <v>15</v>
      </c>
      <c r="N37" s="6">
        <v>8</v>
      </c>
      <c r="O37" s="6">
        <v>2</v>
      </c>
      <c r="P37" s="6">
        <v>4</v>
      </c>
      <c r="Q37" s="6">
        <v>2</v>
      </c>
      <c r="R37" s="6">
        <v>12</v>
      </c>
      <c r="S37" s="6">
        <v>8</v>
      </c>
      <c r="T37" s="6">
        <v>19</v>
      </c>
    </row>
    <row r="38" spans="1:20" ht="26.4" x14ac:dyDescent="0.3">
      <c r="A38" s="3">
        <v>37</v>
      </c>
      <c r="B38" s="4" t="s">
        <v>53</v>
      </c>
      <c r="C38" s="5">
        <v>42.12</v>
      </c>
      <c r="D38" s="6">
        <f>(70/8)*0.8</f>
        <v>7</v>
      </c>
      <c r="E38" s="6">
        <f>(70/8)*0.2</f>
        <v>1.75</v>
      </c>
      <c r="F38" s="6">
        <f>(60/8)*0.25</f>
        <v>1.875</v>
      </c>
      <c r="G38" s="6">
        <f>(60/8)*0.05</f>
        <v>0.375</v>
      </c>
      <c r="H38" s="6">
        <f>(60/8)*0.6</f>
        <v>4.5</v>
      </c>
      <c r="I38" s="6">
        <f>(60/8)*0.1</f>
        <v>0.75</v>
      </c>
      <c r="J38" s="6">
        <f>(60/8)*0.6</f>
        <v>4.5</v>
      </c>
      <c r="K38" s="6">
        <f>(60/8)*0.1</f>
        <v>0.75</v>
      </c>
      <c r="L38" s="6">
        <f>(60/8)*0.3</f>
        <v>2.25</v>
      </c>
      <c r="M38" s="6">
        <f>72/8</f>
        <v>9</v>
      </c>
      <c r="N38" s="6">
        <f>(60/8)*0.8</f>
        <v>6</v>
      </c>
      <c r="O38" s="6">
        <f>(60/8)*0.2</f>
        <v>1.5</v>
      </c>
      <c r="P38" s="6">
        <v>2</v>
      </c>
      <c r="Q38" s="6">
        <v>2</v>
      </c>
      <c r="R38" s="6">
        <v>1</v>
      </c>
      <c r="S38" s="6">
        <v>3</v>
      </c>
      <c r="T38" s="6">
        <v>1</v>
      </c>
    </row>
    <row r="39" spans="1:20" ht="26.4" x14ac:dyDescent="0.3">
      <c r="A39" s="3">
        <v>38</v>
      </c>
      <c r="B39" s="4" t="s">
        <v>54</v>
      </c>
      <c r="C39" s="5">
        <v>24.2</v>
      </c>
      <c r="D39" s="6">
        <f>(80/8)*0.8</f>
        <v>8</v>
      </c>
      <c r="E39" s="6">
        <f>(80/8)*0.2</f>
        <v>2</v>
      </c>
      <c r="F39" s="6">
        <f>(40/8)*0.25</f>
        <v>1.25</v>
      </c>
      <c r="G39" s="6">
        <f>(40/8)*0.05</f>
        <v>0.25</v>
      </c>
      <c r="H39" s="6">
        <f>(40/8)*0.6</f>
        <v>3</v>
      </c>
      <c r="I39" s="6">
        <f>(40/8)*0.1</f>
        <v>0.5</v>
      </c>
      <c r="J39" s="6">
        <f>(80/8)*0.6</f>
        <v>6</v>
      </c>
      <c r="K39" s="6">
        <f>(80/8)*0.1</f>
        <v>1</v>
      </c>
      <c r="L39" s="6">
        <f>(80/8)*0.3</f>
        <v>3</v>
      </c>
      <c r="M39" s="6">
        <f>40/8</f>
        <v>5</v>
      </c>
      <c r="N39" s="6">
        <f>(40/8)*0.8</f>
        <v>4</v>
      </c>
      <c r="O39" s="6">
        <f>(40/8)*0.2</f>
        <v>1</v>
      </c>
      <c r="P39" s="6">
        <v>1</v>
      </c>
      <c r="Q39" s="6">
        <v>0</v>
      </c>
      <c r="R39" s="6">
        <v>2</v>
      </c>
      <c r="S39" s="6">
        <v>0</v>
      </c>
      <c r="T39" s="6">
        <v>1</v>
      </c>
    </row>
    <row r="40" spans="1:20" ht="39.6" x14ac:dyDescent="0.3">
      <c r="A40" s="3">
        <v>39</v>
      </c>
      <c r="B40" s="4" t="s">
        <v>55</v>
      </c>
      <c r="C40" s="5">
        <v>1250</v>
      </c>
      <c r="D40" s="6">
        <v>73</v>
      </c>
      <c r="E40" s="6">
        <v>28</v>
      </c>
      <c r="F40" s="6">
        <v>82</v>
      </c>
      <c r="G40" s="6">
        <v>25</v>
      </c>
      <c r="H40" s="6">
        <v>690</v>
      </c>
      <c r="I40" s="6">
        <v>60</v>
      </c>
      <c r="J40" s="6">
        <v>18</v>
      </c>
      <c r="K40" s="6">
        <v>12</v>
      </c>
      <c r="L40" s="6">
        <v>60</v>
      </c>
      <c r="M40" s="6">
        <v>135</v>
      </c>
      <c r="N40" s="6">
        <v>75</v>
      </c>
      <c r="O40" s="6">
        <v>13</v>
      </c>
      <c r="P40" s="6">
        <v>60</v>
      </c>
      <c r="Q40" s="6">
        <v>45</v>
      </c>
      <c r="R40" s="6">
        <v>110</v>
      </c>
      <c r="S40" s="6">
        <v>98</v>
      </c>
      <c r="T40" s="6">
        <v>105</v>
      </c>
    </row>
    <row r="41" spans="1:20" ht="39.6" x14ac:dyDescent="0.3">
      <c r="A41" s="3">
        <v>40</v>
      </c>
      <c r="B41" s="4" t="s">
        <v>56</v>
      </c>
      <c r="C41" s="5">
        <v>1440</v>
      </c>
      <c r="D41" s="6">
        <v>118</v>
      </c>
      <c r="E41" s="6">
        <v>30</v>
      </c>
      <c r="F41" s="6">
        <v>172</v>
      </c>
      <c r="G41" s="6">
        <v>50</v>
      </c>
      <c r="H41" s="6">
        <v>1075</v>
      </c>
      <c r="I41" s="6">
        <v>35</v>
      </c>
      <c r="J41" s="6">
        <v>70</v>
      </c>
      <c r="K41" s="6">
        <v>15</v>
      </c>
      <c r="L41" s="6">
        <v>65</v>
      </c>
      <c r="M41" s="6">
        <v>185</v>
      </c>
      <c r="N41" s="6">
        <v>75</v>
      </c>
      <c r="O41" s="6">
        <v>20</v>
      </c>
      <c r="P41" s="6">
        <v>78</v>
      </c>
      <c r="Q41" s="6">
        <v>65</v>
      </c>
      <c r="R41" s="6">
        <v>198</v>
      </c>
      <c r="S41" s="6">
        <v>236</v>
      </c>
      <c r="T41" s="6">
        <v>483</v>
      </c>
    </row>
    <row r="42" spans="1:20" x14ac:dyDescent="0.3">
      <c r="A42" s="3">
        <v>41</v>
      </c>
      <c r="B42" s="4" t="s">
        <v>57</v>
      </c>
      <c r="C42" s="5">
        <v>60</v>
      </c>
      <c r="D42" s="6">
        <v>5</v>
      </c>
      <c r="E42" s="6">
        <v>1</v>
      </c>
      <c r="F42" s="6">
        <v>4</v>
      </c>
      <c r="G42" s="6">
        <v>1</v>
      </c>
      <c r="H42" s="6">
        <v>35</v>
      </c>
      <c r="I42" s="6">
        <v>5</v>
      </c>
      <c r="J42" s="6">
        <v>4</v>
      </c>
      <c r="K42" s="6">
        <v>1</v>
      </c>
      <c r="L42" s="6">
        <v>2.5</v>
      </c>
      <c r="M42" s="6">
        <v>6</v>
      </c>
      <c r="N42" s="6">
        <v>3.5</v>
      </c>
      <c r="O42" s="6">
        <v>0.8</v>
      </c>
      <c r="P42" s="6">
        <v>3</v>
      </c>
      <c r="Q42" s="6">
        <v>2</v>
      </c>
      <c r="R42" s="6">
        <v>5</v>
      </c>
      <c r="S42" s="6">
        <v>3</v>
      </c>
      <c r="T42" s="6">
        <v>5</v>
      </c>
    </row>
    <row r="43" spans="1:20" ht="52.8" x14ac:dyDescent="0.3">
      <c r="A43" s="3">
        <v>42</v>
      </c>
      <c r="B43" s="4" t="s">
        <v>58</v>
      </c>
      <c r="C43" s="5">
        <v>438</v>
      </c>
      <c r="D43" s="6">
        <v>15</v>
      </c>
      <c r="E43" s="6">
        <v>5</v>
      </c>
      <c r="F43" s="6">
        <v>15</v>
      </c>
      <c r="G43" s="6">
        <v>5</v>
      </c>
      <c r="H43" s="6">
        <v>230</v>
      </c>
      <c r="I43" s="6">
        <v>10</v>
      </c>
      <c r="J43" s="6">
        <v>40</v>
      </c>
      <c r="K43" s="6">
        <v>6</v>
      </c>
      <c r="L43" s="6">
        <v>35</v>
      </c>
      <c r="M43" s="6">
        <v>80</v>
      </c>
      <c r="N43" s="6">
        <v>30</v>
      </c>
      <c r="O43" s="6">
        <v>5</v>
      </c>
      <c r="P43" s="6">
        <v>2</v>
      </c>
      <c r="Q43" s="6">
        <v>5</v>
      </c>
      <c r="R43" s="6">
        <v>56</v>
      </c>
      <c r="S43" s="6">
        <v>12</v>
      </c>
      <c r="T43" s="6">
        <v>28</v>
      </c>
    </row>
    <row r="44" spans="1:20" ht="52.8" x14ac:dyDescent="0.3">
      <c r="A44" s="3">
        <v>43</v>
      </c>
      <c r="B44" s="4" t="s">
        <v>59</v>
      </c>
      <c r="C44" s="5">
        <v>160</v>
      </c>
      <c r="D44" s="6">
        <v>10</v>
      </c>
      <c r="E44" s="6">
        <v>2</v>
      </c>
      <c r="F44" s="6">
        <v>9.5</v>
      </c>
      <c r="G44" s="6">
        <v>0.5</v>
      </c>
      <c r="H44" s="6">
        <v>90</v>
      </c>
      <c r="I44" s="6">
        <v>11</v>
      </c>
      <c r="J44" s="6">
        <v>11</v>
      </c>
      <c r="K44" s="6">
        <v>0.8</v>
      </c>
      <c r="L44" s="6">
        <v>6</v>
      </c>
      <c r="M44" s="6">
        <v>20</v>
      </c>
      <c r="N44" s="6">
        <v>9</v>
      </c>
      <c r="O44" s="6">
        <v>3</v>
      </c>
      <c r="P44" s="6">
        <v>4</v>
      </c>
      <c r="Q44" s="6">
        <v>2</v>
      </c>
      <c r="R44" s="6">
        <v>12</v>
      </c>
      <c r="S44" s="6">
        <v>8</v>
      </c>
      <c r="T44" s="6">
        <v>19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 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Gupta</dc:creator>
  <cp:lastModifiedBy>Diksha Gupta</cp:lastModifiedBy>
  <dcterms:created xsi:type="dcterms:W3CDTF">2026-04-07T10:20:40Z</dcterms:created>
  <dcterms:modified xsi:type="dcterms:W3CDTF">2026-04-07T10:20:55Z</dcterms:modified>
</cp:coreProperties>
</file>